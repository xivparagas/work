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EPORTS\PURCHASING-XIV\"/>
    </mc:Choice>
  </mc:AlternateContent>
  <xr:revisionPtr revIDLastSave="0" documentId="13_ncr:1_{6F86854F-0105-4998-A284-722410076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5" r:id="rId1"/>
    <sheet name="2025" sheetId="4" r:id="rId2"/>
    <sheet name="2024" sheetId="3" r:id="rId3"/>
    <sheet name="2023" sheetId="2" r:id="rId4"/>
    <sheet name="OLD YEARL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5" l="1"/>
  <c r="N48" i="5"/>
  <c r="M48" i="5"/>
  <c r="L48" i="5"/>
  <c r="K48" i="5"/>
  <c r="J48" i="5"/>
  <c r="I48" i="5"/>
  <c r="H48" i="5"/>
  <c r="G48" i="5"/>
  <c r="F48" i="5"/>
  <c r="E48" i="5"/>
  <c r="D48" i="5"/>
  <c r="O46" i="5"/>
  <c r="N46" i="5"/>
  <c r="M46" i="5"/>
  <c r="L46" i="5"/>
  <c r="K46" i="5"/>
  <c r="J46" i="5"/>
  <c r="I46" i="5"/>
  <c r="H46" i="5"/>
  <c r="G46" i="5"/>
  <c r="F46" i="5"/>
  <c r="E46" i="5"/>
  <c r="D46" i="5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D4" i="5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L46" i="4" l="1"/>
  <c r="M46" i="4"/>
  <c r="N46" i="4"/>
  <c r="O46" i="4"/>
  <c r="J46" i="4" l="1"/>
  <c r="D2" i="4" l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O48" i="4"/>
  <c r="N48" i="4"/>
  <c r="M48" i="4"/>
  <c r="L48" i="4"/>
  <c r="K48" i="4"/>
  <c r="J48" i="4"/>
  <c r="I48" i="4"/>
  <c r="H48" i="4"/>
  <c r="G48" i="4"/>
  <c r="F48" i="4"/>
  <c r="E48" i="4"/>
  <c r="D48" i="4"/>
  <c r="K46" i="4"/>
  <c r="I46" i="4"/>
  <c r="H46" i="4"/>
  <c r="G46" i="4"/>
  <c r="F46" i="4"/>
  <c r="E46" i="4"/>
  <c r="D46" i="4"/>
  <c r="D6" i="4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D4" i="4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D44" i="3"/>
  <c r="E44" i="3"/>
  <c r="F44" i="3"/>
  <c r="G44" i="3"/>
  <c r="H44" i="3"/>
  <c r="I44" i="3"/>
  <c r="J44" i="3"/>
  <c r="L44" i="3"/>
  <c r="M44" i="3"/>
  <c r="N44" i="3"/>
  <c r="C44" i="3"/>
  <c r="D42" i="3"/>
  <c r="E42" i="3"/>
  <c r="F42" i="3"/>
  <c r="G42" i="3"/>
  <c r="H42" i="3"/>
  <c r="I42" i="3"/>
  <c r="J42" i="3"/>
  <c r="K42" i="3"/>
  <c r="L42" i="3"/>
  <c r="M42" i="3"/>
  <c r="N42" i="3"/>
  <c r="C42" i="3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C4" i="3"/>
  <c r="D4" i="3" s="1"/>
  <c r="E4" i="3" s="1"/>
  <c r="F4" i="3" s="1"/>
  <c r="G4" i="3" s="1"/>
  <c r="H4" i="3" s="1"/>
  <c r="I4" i="3" s="1"/>
  <c r="J4" i="3" s="1"/>
  <c r="D5" i="2" l="1"/>
  <c r="E5" i="2" l="1"/>
  <c r="F5" i="2" s="1"/>
  <c r="G5" i="2" s="1"/>
  <c r="H5" i="2" s="1"/>
  <c r="I5" i="2" s="1"/>
  <c r="J5" i="2" s="1"/>
  <c r="K5" i="2" s="1"/>
  <c r="L5" i="2" s="1"/>
  <c r="M5" i="2" s="1"/>
  <c r="N5" i="2" s="1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D2" i="1" l="1"/>
  <c r="E2" i="1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K44" i="3" l="1"/>
  <c r="K4" i="3"/>
  <c r="L4" i="3" s="1"/>
  <c r="M4" i="3" s="1"/>
  <c r="N4" i="3" s="1"/>
</calcChain>
</file>

<file path=xl/sharedStrings.xml><?xml version="1.0" encoding="utf-8"?>
<sst xmlns="http://schemas.openxmlformats.org/spreadsheetml/2006/main" count="114" uniqueCount="24">
  <si>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</si>
  <si>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</si>
  <si>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</si>
  <si>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</si>
  <si>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</si>
  <si>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</si>
  <si>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</si>
  <si>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</si>
  <si>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</si>
  <si>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</si>
  <si>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</si>
  <si>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</si>
  <si>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Apl</t>
  </si>
  <si>
    <t>2023 Written</t>
  </si>
  <si>
    <t>2024 Written</t>
  </si>
  <si>
    <t>2023 Invoiced</t>
  </si>
  <si>
    <t>2024 Invoiced</t>
  </si>
  <si>
    <t>2025 Written</t>
  </si>
  <si>
    <t>2025 Invoiced</t>
  </si>
  <si>
    <t>Written</t>
  </si>
  <si>
    <t>Invoiced</t>
  </si>
  <si>
    <t>Goal</t>
  </si>
  <si>
    <t>2026 Written</t>
  </si>
  <si>
    <t>2026 Invoiced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</si>
</sst>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righ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shrinkToFit="1"/>
    </xf>
    <xf numFmtId="43" fontId="0" fillId="0" borderId="0" xfId="1" applyFont="1" applyAlignment="1">
      <alignment horizontal="right"/>
    </xf>
    <xf numFmtId="4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8" borderId="0" xfId="1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 sz="1600">
                <a:solidFill>
                  <a:schemeClr val="bg1"/>
                </a:solidFill>
              </a:rPr>
              <a:t>2026 Monthly Sales </a:t>
            </a:r>
          </a:p>
        </c:rich>
      </c:tx>
      <c:layout>
        <c:manualLayout>
          <c:xMode val="edge"/>
          <c:yMode val="edge"/>
          <c:x val="0.43765468127672852"/>
          <c:y val="1.2152798467759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34997598990983E-2"/>
          <c:y val="6.4472440944881887E-2"/>
          <c:w val="0.9004987633669943"/>
          <c:h val="0.85760743420585939"/>
        </c:manualLayout>
      </c:layout>
      <c:lineChart>
        <c:grouping val="standard"/>
        <c:varyColors val="0"/>
        <c:ser>
          <c:idx val="7"/>
          <c:order val="0"/>
          <c:tx>
            <c:v>Written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FFC000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6.9063497865942652E-2"/>
                  <c:y val="-0.11109623326148724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BF-468C-8E33-AA639968699F}"/>
                </c:ext>
              </c:extLst>
            </c:dLbl>
            <c:dLbl>
              <c:idx val="2"/>
              <c:layout>
                <c:manualLayout>
                  <c:x val="-7.7033884389875129E-2"/>
                  <c:y val="-0.1290883100653103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BF-468C-8E33-AA639968699F}"/>
                </c:ext>
              </c:extLst>
            </c:dLbl>
            <c:dLbl>
              <c:idx val="3"/>
              <c:layout>
                <c:manualLayout>
                  <c:x val="-7.7033228429880696E-2"/>
                  <c:y val="-0.11614766854810443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BF-468C-8E33-AA639968699F}"/>
                </c:ext>
              </c:extLst>
            </c:dLbl>
            <c:dLbl>
              <c:idx val="4"/>
              <c:layout>
                <c:manualLayout>
                  <c:x val="-7.6476308915260693E-2"/>
                  <c:y val="-0.10330659864586098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BF-468C-8E33-AA639968699F}"/>
                </c:ext>
              </c:extLst>
            </c:dLbl>
            <c:dLbl>
              <c:idx val="5"/>
              <c:layout>
                <c:manualLayout>
                  <c:x val="-7.2579192840390272E-2"/>
                  <c:y val="-9.18407291488805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BF-468C-8E33-AA639968699F}"/>
                </c:ext>
              </c:extLst>
            </c:dLbl>
            <c:dLbl>
              <c:idx val="6"/>
              <c:layout>
                <c:manualLayout>
                  <c:x val="-7.2673832549401074E-2"/>
                  <c:y val="-9.0564079357856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BF-468C-8E33-AA639968699F}"/>
                </c:ext>
              </c:extLst>
            </c:dLbl>
            <c:dLbl>
              <c:idx val="7"/>
              <c:layout>
                <c:manualLayout>
                  <c:x val="-7.1906457374059041E-2"/>
                  <c:y val="-8.75126693487134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BF-468C-8E33-AA639968699F}"/>
                </c:ext>
              </c:extLst>
            </c:dLbl>
            <c:dLbl>
              <c:idx val="8"/>
              <c:layout>
                <c:manualLayout>
                  <c:x val="-7.2204479973697805E-2"/>
                  <c:y val="-8.8545562973286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BF-468C-8E33-AA639968699F}"/>
                </c:ext>
              </c:extLst>
            </c:dLbl>
            <c:dLbl>
              <c:idx val="9"/>
              <c:layout>
                <c:manualLayout>
                  <c:x val="-7.7270190445733286E-2"/>
                  <c:y val="-0.104092462484008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BF-468C-8E33-AA639968699F}"/>
                </c:ext>
              </c:extLst>
            </c:dLbl>
            <c:dLbl>
              <c:idx val="10"/>
              <c:layout>
                <c:manualLayout>
                  <c:x val="-7.7387843263841807E-2"/>
                  <c:y val="-9.5675220562321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BF-468C-8E33-AA639968699F}"/>
                </c:ext>
              </c:extLst>
            </c:dLbl>
            <c:dLbl>
              <c:idx val="11"/>
              <c:layout>
                <c:manualLayout>
                  <c:x val="-7.760531033620191E-2"/>
                  <c:y val="-6.895658398190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BF-468C-8E33-AA639968699F}"/>
                </c:ext>
              </c:extLst>
            </c:dLbl>
            <c:dLbl>
              <c:idx val="12"/>
              <c:layout>
                <c:manualLayout>
                  <c:x val="-2.6998057061049314E-2"/>
                  <c:y val="-7.1134196629670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BF-468C-8E33-AA639968699F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rgbClr val="FFC000">
                        <a:alpha val="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'2026'!$C$1:$O$1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'2026'!$C$2:$O$2</c:f>
              <c:numCache>
                <c:formatCode>"$"#,##0.00</c:formatCode>
                <c:ptCount val="13"/>
                <c:pt idx="0">
                  <c:v>0</c:v>
                </c:pt>
                <c:pt idx="1">
                  <c:v>955153.66999999981</c:v>
                </c:pt>
                <c:pt idx="2">
                  <c:v>1915665.2599999998</c:v>
                </c:pt>
                <c:pt idx="3">
                  <c:v>3150003.0699999994</c:v>
                </c:pt>
                <c:pt idx="4">
                  <c:v>4513201.0699999994</c:v>
                </c:pt>
                <c:pt idx="5">
                  <c:v>4513201.0699999994</c:v>
                </c:pt>
                <c:pt idx="6">
                  <c:v>4513201.0699999994</c:v>
                </c:pt>
                <c:pt idx="7">
                  <c:v>4513201.0699999994</c:v>
                </c:pt>
                <c:pt idx="8">
                  <c:v>4513201.0699999994</c:v>
                </c:pt>
                <c:pt idx="9">
                  <c:v>4513201.0699999994</c:v>
                </c:pt>
                <c:pt idx="10">
                  <c:v>4513201.0699999994</c:v>
                </c:pt>
                <c:pt idx="11">
                  <c:v>4513201.0699999994</c:v>
                </c:pt>
                <c:pt idx="12">
                  <c:v>4513201.0699999994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BF-468C-8E33-AA639968699F}"/>
            </c:ext>
          </c:extLst>
        </c:ser>
        <c:ser>
          <c:idx val="0"/>
          <c:order val="1"/>
          <c:tx>
            <c:v>Invoiced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00B0F0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EBF-468C-8E33-AA639968699F}"/>
                </c:ext>
              </c:extLst>
            </c:dLbl>
            <c:dLbl>
              <c:idx val="1"/>
              <c:layout>
                <c:manualLayout>
                  <c:x val="-6.9256318484664944E-2"/>
                  <c:y val="-8.493060351099721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EBF-468C-8E33-AA639968699F}"/>
                </c:ext>
              </c:extLst>
            </c:dLbl>
            <c:dLbl>
              <c:idx val="2"/>
              <c:layout>
                <c:manualLayout>
                  <c:x val="-7.7071473976568869E-2"/>
                  <c:y val="-9.8501132758135407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EBF-468C-8E33-AA639968699F}"/>
                </c:ext>
              </c:extLst>
            </c:dLbl>
            <c:dLbl>
              <c:idx val="3"/>
              <c:layout>
                <c:manualLayout>
                  <c:x val="-7.706894220383953E-2"/>
                  <c:y val="-9.0582045001828176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EBF-468C-8E33-AA639968699F}"/>
                </c:ext>
              </c:extLst>
            </c:dLbl>
            <c:dLbl>
              <c:idx val="4"/>
              <c:layout>
                <c:manualLayout>
                  <c:x val="-7.7498816693745795E-2"/>
                  <c:y val="-8.068025929846033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EBF-468C-8E33-AA639968699F}"/>
                </c:ext>
              </c:extLst>
            </c:dLbl>
            <c:dLbl>
              <c:idx val="5"/>
              <c:layout>
                <c:manualLayout>
                  <c:x val="-7.2644351258752446E-2"/>
                  <c:y val="-0.109459135515138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EBF-468C-8E33-AA639968699F}"/>
                </c:ext>
              </c:extLst>
            </c:dLbl>
            <c:dLbl>
              <c:idx val="6"/>
              <c:layout>
                <c:manualLayout>
                  <c:x val="-7.2673832549401074E-2"/>
                  <c:y val="-9.0092211830669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EBF-468C-8E33-AA639968699F}"/>
                </c:ext>
              </c:extLst>
            </c:dLbl>
            <c:dLbl>
              <c:idx val="7"/>
              <c:layout>
                <c:manualLayout>
                  <c:x val="-7.1906389332369564E-2"/>
                  <c:y val="-9.4310085095967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EBF-468C-8E33-AA639968699F}"/>
                </c:ext>
              </c:extLst>
            </c:dLbl>
            <c:dLbl>
              <c:idx val="8"/>
              <c:layout>
                <c:manualLayout>
                  <c:x val="-7.2204479973697805E-2"/>
                  <c:y val="-8.1879025278136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EBF-468C-8E33-AA639968699F}"/>
                </c:ext>
              </c:extLst>
            </c:dLbl>
            <c:dLbl>
              <c:idx val="9"/>
              <c:layout>
                <c:manualLayout>
                  <c:x val="-7.7389273072395084E-2"/>
                  <c:y val="-8.7078315710497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EBF-468C-8E33-AA639968699F}"/>
                </c:ext>
              </c:extLst>
            </c:dLbl>
            <c:dLbl>
              <c:idx val="10"/>
              <c:layout>
                <c:manualLayout>
                  <c:x val="-7.7389273072395084E-2"/>
                  <c:y val="-7.4388359591653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EBF-468C-8E33-AA639968699F}"/>
                </c:ext>
              </c:extLst>
            </c:dLbl>
            <c:dLbl>
              <c:idx val="11"/>
              <c:layout>
                <c:manualLayout>
                  <c:x val="-7.760531033620191E-2"/>
                  <c:y val="-9.1737103338988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EBF-468C-8E33-AA639968699F}"/>
                </c:ext>
              </c:extLst>
            </c:dLbl>
            <c:dLbl>
              <c:idx val="12"/>
              <c:layout>
                <c:manualLayout>
                  <c:x val="-2.6998057061049314E-2"/>
                  <c:y val="-8.5894879045816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EBF-468C-8E33-AA639968699F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>
                        <a:alpha val="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'2026'!$C$1:$O$1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'2026'!$C$4:$O$4</c:f>
              <c:numCache>
                <c:formatCode>"$"#,##0.00</c:formatCode>
                <c:ptCount val="13"/>
                <c:pt idx="0">
                  <c:v>0</c:v>
                </c:pt>
                <c:pt idx="1">
                  <c:v>985408.35</c:v>
                </c:pt>
                <c:pt idx="2">
                  <c:v>1994243.4400000002</c:v>
                </c:pt>
                <c:pt idx="3">
                  <c:v>3128554.99</c:v>
                </c:pt>
                <c:pt idx="4">
                  <c:v>4408709.8000000007</c:v>
                </c:pt>
                <c:pt idx="5">
                  <c:v>4408709.8000000007</c:v>
                </c:pt>
                <c:pt idx="6">
                  <c:v>4408709.8000000007</c:v>
                </c:pt>
                <c:pt idx="7">
                  <c:v>4408709.8000000007</c:v>
                </c:pt>
                <c:pt idx="8">
                  <c:v>4408709.8000000007</c:v>
                </c:pt>
                <c:pt idx="9">
                  <c:v>4408709.8000000007</c:v>
                </c:pt>
                <c:pt idx="10">
                  <c:v>4408709.8000000007</c:v>
                </c:pt>
                <c:pt idx="11">
                  <c:v>4408709.8000000007</c:v>
                </c:pt>
                <c:pt idx="12">
                  <c:v>4408709.8000000007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EBF-468C-8E33-AA639968699F}"/>
            </c:ext>
          </c:extLst>
        </c:ser>
        <c:ser>
          <c:idx val="5"/>
          <c:order val="2"/>
          <c:tx>
            <c:v>Goal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20"/>
            <c:spPr>
              <a:solidFill>
                <a:srgbClr val="00B050"/>
              </a:solidFill>
              <a:ln w="15875">
                <a:noFill/>
                <a:round/>
              </a:ln>
              <a:effectLst/>
            </c:spPr>
          </c:marker>
          <c:dPt>
            <c:idx val="12"/>
            <c:marker>
              <c:symbol val="dash"/>
              <c:size val="20"/>
              <c:spPr>
                <a:solidFill>
                  <a:srgbClr val="00B050"/>
                </a:solidFill>
                <a:ln w="1587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3EBF-468C-8E33-AA639968699F}"/>
              </c:ext>
            </c:extLst>
          </c:dPt>
          <c:dLbls>
            <c:dLbl>
              <c:idx val="1"/>
              <c:layout>
                <c:manualLayout>
                  <c:x val="-7.4847567131031703E-2"/>
                  <c:y val="-6.1327638399755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EBF-468C-8E33-AA639968699F}"/>
                </c:ext>
              </c:extLst>
            </c:dLbl>
            <c:dLbl>
              <c:idx val="2"/>
              <c:layout>
                <c:manualLayout>
                  <c:x val="-8.3069271343345477E-2"/>
                  <c:y val="-7.3785885741047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EBF-468C-8E33-AA639968699F}"/>
                </c:ext>
              </c:extLst>
            </c:dLbl>
            <c:dLbl>
              <c:idx val="3"/>
              <c:layout>
                <c:manualLayout>
                  <c:x val="-8.3007393624051212E-2"/>
                  <c:y val="-6.6838582009365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EBF-468C-8E33-AA639968699F}"/>
                </c:ext>
              </c:extLst>
            </c:dLbl>
            <c:dLbl>
              <c:idx val="4"/>
              <c:layout>
                <c:manualLayout>
                  <c:x val="-8.2077401164322342E-2"/>
                  <c:y val="-5.352882676862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EBF-468C-8E33-AA639968699F}"/>
                </c:ext>
              </c:extLst>
            </c:dLbl>
            <c:dLbl>
              <c:idx val="5"/>
              <c:layout>
                <c:manualLayout>
                  <c:x val="-7.744043358216593E-2"/>
                  <c:y val="-0.10241846827258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EBF-468C-8E33-AA639968699F}"/>
                </c:ext>
              </c:extLst>
            </c:dLbl>
            <c:dLbl>
              <c:idx val="6"/>
              <c:layout>
                <c:manualLayout>
                  <c:x val="-7.7438320209973821E-2"/>
                  <c:y val="-9.1736262220401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EBF-468C-8E33-AA639968699F}"/>
                </c:ext>
              </c:extLst>
            </c:dLbl>
            <c:dLbl>
              <c:idx val="7"/>
              <c:layout>
                <c:manualLayout>
                  <c:x val="-7.7448316893553942E-2"/>
                  <c:y val="-0.10241846827258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EBF-468C-8E33-AA639968699F}"/>
                </c:ext>
              </c:extLst>
            </c:dLbl>
            <c:dLbl>
              <c:idx val="8"/>
              <c:layout>
                <c:manualLayout>
                  <c:x val="-7.7448316893554081E-2"/>
                  <c:y val="-9.8145585851712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EBF-468C-8E33-AA639968699F}"/>
                </c:ext>
              </c:extLst>
            </c:dLbl>
            <c:dLbl>
              <c:idx val="9"/>
              <c:layout>
                <c:manualLayout>
                  <c:x val="-7.7451776132015301E-2"/>
                  <c:y val="-0.102418468272586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EBF-468C-8E33-AA639968699F}"/>
                </c:ext>
              </c:extLst>
            </c:dLbl>
            <c:dLbl>
              <c:idx val="10"/>
              <c:layout>
                <c:manualLayout>
                  <c:x val="-8.3022514514429185E-2"/>
                  <c:y val="-9.6009144641275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EBF-468C-8E33-AA639968699F}"/>
                </c:ext>
              </c:extLst>
            </c:dLbl>
            <c:dLbl>
              <c:idx val="11"/>
              <c:layout>
                <c:manualLayout>
                  <c:x val="-8.3009033462354387E-2"/>
                  <c:y val="-8.9599821009964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EBF-468C-8E33-AA639968699F}"/>
                </c:ext>
              </c:extLst>
            </c:dLbl>
            <c:dLbl>
              <c:idx val="12"/>
              <c:layout>
                <c:manualLayout>
                  <c:x val="-2.7755370155878784E-2"/>
                  <c:y val="-8.4960556716541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EBF-468C-8E33-AA639968699F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'2026'!$C$1:$O$1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'2026'!$C$6:$O$6</c:f>
              <c:numCache>
                <c:formatCode>"$"#,##0.00</c:formatCode>
                <c:ptCount val="13"/>
                <c:pt idx="0">
                  <c:v>0</c:v>
                </c:pt>
                <c:pt idx="1">
                  <c:v>973389</c:v>
                </c:pt>
                <c:pt idx="2">
                  <c:v>1956831</c:v>
                </c:pt>
                <c:pt idx="3">
                  <c:v>3103150</c:v>
                </c:pt>
                <c:pt idx="4">
                  <c:v>4390227</c:v>
                </c:pt>
                <c:pt idx="5">
                  <c:v>5677304</c:v>
                </c:pt>
                <c:pt idx="6">
                  <c:v>6954321</c:v>
                </c:pt>
                <c:pt idx="7">
                  <c:v>8211233</c:v>
                </c:pt>
                <c:pt idx="8">
                  <c:v>9357552</c:v>
                </c:pt>
                <c:pt idx="9">
                  <c:v>10584299</c:v>
                </c:pt>
                <c:pt idx="10">
                  <c:v>11811046</c:v>
                </c:pt>
                <c:pt idx="11">
                  <c:v>12977072</c:v>
                </c:pt>
                <c:pt idx="12">
                  <c:v>13981626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EBF-468C-8E33-AA6399686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224424"/>
        <c:axId val="368590016"/>
      </c:lineChart>
      <c:catAx>
        <c:axId val="46322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0"/>
                  <a:lumOff val="50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90016"/>
        <c:crosses val="autoZero"/>
        <c:auto val="1"/>
        <c:lblAlgn val="ctr"/>
        <c:lblOffset val="100"/>
        <c:noMultiLvlLbl val="0"/>
      </c:catAx>
      <c:valAx>
        <c:axId val="368590016"/>
        <c:scaling>
          <c:orientation val="minMax"/>
          <c:max val="1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54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24424"/>
        <c:crosses val="autoZero"/>
        <c:crossBetween val="midCat"/>
        <c:majorUnit val="1000000"/>
      </c:val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932849302928037E-2"/>
          <c:y val="0.49581948164942335"/>
          <c:w val="7.3743296074004733E-2"/>
          <c:h val="0.21276195586987223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 sz="1600">
                <a:solidFill>
                  <a:schemeClr val="bg1"/>
                </a:solidFill>
              </a:rPr>
              <a:t>2025 Monthly Sales </a:t>
            </a:r>
          </a:p>
        </c:rich>
      </c:tx>
      <c:layout>
        <c:manualLayout>
          <c:xMode val="edge"/>
          <c:yMode val="edge"/>
          <c:x val="0.43765468127672852"/>
          <c:y val="1.2152798467759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34997598990983E-2"/>
          <c:y val="6.4472440944881887E-2"/>
          <c:w val="0.9004987633669943"/>
          <c:h val="0.85760743420585939"/>
        </c:manualLayout>
      </c:layout>
      <c:lineChart>
        <c:grouping val="standard"/>
        <c:varyColors val="0"/>
        <c:ser>
          <c:idx val="7"/>
          <c:order val="0"/>
          <c:tx>
            <c:v>Written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FFC000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7.7713708863315162E-2"/>
                  <c:y val="-8.4584567324393359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71-4EDB-8BA1-697C1047F2A0}"/>
                </c:ext>
              </c:extLst>
            </c:dLbl>
            <c:dLbl>
              <c:idx val="2"/>
              <c:layout>
                <c:manualLayout>
                  <c:x val="-7.7959069801589467E-2"/>
                  <c:y val="-8.693633489304757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71-4EDB-8BA1-697C1047F2A0}"/>
                </c:ext>
              </c:extLst>
            </c:dLbl>
            <c:dLbl>
              <c:idx val="3"/>
              <c:layout>
                <c:manualLayout>
                  <c:x val="-7.7957014114494461E-2"/>
                  <c:y val="-8.2869862973371025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71-4EDB-8BA1-697C1047F2A0}"/>
                </c:ext>
              </c:extLst>
            </c:dLbl>
            <c:dLbl>
              <c:idx val="4"/>
              <c:layout>
                <c:manualLayout>
                  <c:x val="-7.1848731636059385E-2"/>
                  <c:y val="-9.6651086346710838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71-4EDB-8BA1-697C1047F2A0}"/>
                </c:ext>
              </c:extLst>
            </c:dLbl>
            <c:dLbl>
              <c:idx val="5"/>
              <c:layout>
                <c:manualLayout>
                  <c:x val="-7.2579192840390272E-2"/>
                  <c:y val="-9.1840729148880598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71-4EDB-8BA1-697C1047F2A0}"/>
                </c:ext>
              </c:extLst>
            </c:dLbl>
            <c:dLbl>
              <c:idx val="6"/>
              <c:layout>
                <c:manualLayout>
                  <c:x val="-7.2673832549401074E-2"/>
                  <c:y val="-9.0564079357856431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71-4EDB-8BA1-697C1047F2A0}"/>
                </c:ext>
              </c:extLst>
            </c:dLbl>
            <c:dLbl>
              <c:idx val="7"/>
              <c:layout>
                <c:manualLayout>
                  <c:x val="-7.1906457374059041E-2"/>
                  <c:y val="-8.7512669348713462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71-4EDB-8BA1-697C1047F2A0}"/>
                </c:ext>
              </c:extLst>
            </c:dLbl>
            <c:dLbl>
              <c:idx val="8"/>
              <c:layout>
                <c:manualLayout>
                  <c:x val="-7.2204479973697805E-2"/>
                  <c:y val="-8.8545562973286959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71-4EDB-8BA1-697C1047F2A0}"/>
                </c:ext>
              </c:extLst>
            </c:dLbl>
            <c:dLbl>
              <c:idx val="9"/>
              <c:layout>
                <c:manualLayout>
                  <c:x val="-7.7270190445733286E-2"/>
                  <c:y val="-0.10409246248400823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71-4EDB-8BA1-697C1047F2A0}"/>
                </c:ext>
              </c:extLst>
            </c:dLbl>
            <c:dLbl>
              <c:idx val="10"/>
              <c:layout>
                <c:manualLayout>
                  <c:x val="-7.7387843263841807E-2"/>
                  <c:y val="-9.5675220562321417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71-4EDB-8BA1-697C1047F2A0}"/>
                </c:ext>
              </c:extLst>
            </c:dLbl>
            <c:dLbl>
              <c:idx val="11"/>
              <c:layout>
                <c:manualLayout>
                  <c:x val="-7.760531033620191E-2"/>
                  <c:y val="-6.895658398190585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71-4EDB-8BA1-697C1047F2A0}"/>
                </c:ext>
              </c:extLst>
            </c:dLbl>
            <c:dLbl>
              <c:idx val="12"/>
              <c:layout>
                <c:manualLayout>
                  <c:x val="-2.6998057061049314E-2"/>
                  <c:y val="-7.1134196629670021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71-4EDB-8BA1-697C1047F2A0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rgbClr val="FFC000">
                        <a:alpha val="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'2025'!$C$1:$O$1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'2025'!$C$2:$O$2</c:f>
              <c:numCache>
                <c:formatCode>"$"#,##0.00</c:formatCode>
                <c:ptCount val="13"/>
                <c:pt idx="0">
                  <c:v>0</c:v>
                </c:pt>
                <c:pt idx="1">
                  <c:v>1445682.8499999999</c:v>
                </c:pt>
                <c:pt idx="2">
                  <c:v>2637558.88</c:v>
                </c:pt>
                <c:pt idx="3">
                  <c:v>3812147.03</c:v>
                </c:pt>
                <c:pt idx="4">
                  <c:v>5027855.3099999996</c:v>
                </c:pt>
                <c:pt idx="5">
                  <c:v>6264607.5899999999</c:v>
                </c:pt>
                <c:pt idx="6">
                  <c:v>7193093.0299999993</c:v>
                </c:pt>
                <c:pt idx="7">
                  <c:v>8392742.6699999999</c:v>
                </c:pt>
                <c:pt idx="8">
                  <c:v>9415927.4000000004</c:v>
                </c:pt>
                <c:pt idx="9">
                  <c:v>10465391.08</c:v>
                </c:pt>
                <c:pt idx="10">
                  <c:v>11560727.800000001</c:v>
                </c:pt>
                <c:pt idx="11">
                  <c:v>12601603.370000001</c:v>
                </c:pt>
                <c:pt idx="12">
                  <c:v>13450969.260000002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71-4EDB-8BA1-697C1047F2A0}"/>
            </c:ext>
          </c:extLst>
        </c:ser>
        <c:ser>
          <c:idx val="0"/>
          <c:order val="1"/>
          <c:tx>
            <c:v>Invoiced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00B0F0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71-4EDB-8BA1-697C1047F2A0}"/>
                </c:ext>
              </c:extLst>
            </c:dLbl>
            <c:dLbl>
              <c:idx val="1"/>
              <c:layout>
                <c:manualLayout>
                  <c:x val="-6.9256318484664944E-2"/>
                  <c:y val="-8.493060351099721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71-4EDB-8BA1-697C1047F2A0}"/>
                </c:ext>
              </c:extLst>
            </c:dLbl>
            <c:dLbl>
              <c:idx val="2"/>
              <c:layout>
                <c:manualLayout>
                  <c:x val="-7.7994677238771723E-2"/>
                  <c:y val="-9.6282676405698417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71-4EDB-8BA1-697C1047F2A0}"/>
                </c:ext>
              </c:extLst>
            </c:dLbl>
            <c:dLbl>
              <c:idx val="3"/>
              <c:layout>
                <c:manualLayout>
                  <c:x val="-7.799269496907292E-2"/>
                  <c:y val="-0.10389311737893998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71-4EDB-8BA1-697C1047F2A0}"/>
                </c:ext>
              </c:extLst>
            </c:dLbl>
            <c:dLbl>
              <c:idx val="4"/>
              <c:layout>
                <c:manualLayout>
                  <c:x val="-7.1945731675172375E-2"/>
                  <c:y val="-0.1161766449966482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71-4EDB-8BA1-697C1047F2A0}"/>
                </c:ext>
              </c:extLst>
            </c:dLbl>
            <c:dLbl>
              <c:idx val="5"/>
              <c:layout>
                <c:manualLayout>
                  <c:x val="-7.2644351258752446E-2"/>
                  <c:y val="-0.10945913551513894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71-4EDB-8BA1-697C1047F2A0}"/>
                </c:ext>
              </c:extLst>
            </c:dLbl>
            <c:dLbl>
              <c:idx val="6"/>
              <c:layout>
                <c:manualLayout>
                  <c:x val="-7.2673832549401074E-2"/>
                  <c:y val="-9.0092211830669372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371-4EDB-8BA1-697C1047F2A0}"/>
                </c:ext>
              </c:extLst>
            </c:dLbl>
            <c:dLbl>
              <c:idx val="7"/>
              <c:layout>
                <c:manualLayout>
                  <c:x val="-7.1906389332369564E-2"/>
                  <c:y val="-9.431008509596743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71-4EDB-8BA1-697C1047F2A0}"/>
                </c:ext>
              </c:extLst>
            </c:dLbl>
            <c:dLbl>
              <c:idx val="8"/>
              <c:layout>
                <c:manualLayout>
                  <c:x val="-7.2204479973697805E-2"/>
                  <c:y val="-8.1879025278136883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71-4EDB-8BA1-697C1047F2A0}"/>
                </c:ext>
              </c:extLst>
            </c:dLbl>
            <c:dLbl>
              <c:idx val="9"/>
              <c:layout>
                <c:manualLayout>
                  <c:x val="-7.7389273072395084E-2"/>
                  <c:y val="-8.7078315710497109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71-4EDB-8BA1-697C1047F2A0}"/>
                </c:ext>
              </c:extLst>
            </c:dLbl>
            <c:dLbl>
              <c:idx val="10"/>
              <c:layout>
                <c:manualLayout>
                  <c:x val="-7.7389273072395084E-2"/>
                  <c:y val="-7.4388359591653755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71-4EDB-8BA1-697C1047F2A0}"/>
                </c:ext>
              </c:extLst>
            </c:dLbl>
            <c:dLbl>
              <c:idx val="11"/>
              <c:layout>
                <c:manualLayout>
                  <c:x val="-7.760531033620191E-2"/>
                  <c:y val="-9.1737103338988449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71-4EDB-8BA1-697C1047F2A0}"/>
                </c:ext>
              </c:extLst>
            </c:dLbl>
            <c:dLbl>
              <c:idx val="12"/>
              <c:layout>
                <c:manualLayout>
                  <c:x val="-2.6998057061049314E-2"/>
                  <c:y val="-8.5894879045816261E-2"/>
                </c:manualLayout>
              </c:layout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371-4EDB-8BA1-697C1047F2A0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>
                        <a:alpha val="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'2025'!$C$1:$O$1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'2025'!$C$4:$O$4</c:f>
              <c:numCache>
                <c:formatCode>"$"#,##0.00</c:formatCode>
                <c:ptCount val="13"/>
                <c:pt idx="0">
                  <c:v>0</c:v>
                </c:pt>
                <c:pt idx="1">
                  <c:v>982336.6100000001</c:v>
                </c:pt>
                <c:pt idx="2">
                  <c:v>2046950.78</c:v>
                </c:pt>
                <c:pt idx="3">
                  <c:v>3034854.7199999997</c:v>
                </c:pt>
                <c:pt idx="4">
                  <c:v>4232393.58</c:v>
                </c:pt>
                <c:pt idx="5">
                  <c:v>5434977.1900000004</c:v>
                </c:pt>
                <c:pt idx="6">
                  <c:v>6698704.6699999999</c:v>
                </c:pt>
                <c:pt idx="7">
                  <c:v>7850816.5199999996</c:v>
                </c:pt>
                <c:pt idx="8">
                  <c:v>9089745.25</c:v>
                </c:pt>
                <c:pt idx="9">
                  <c:v>10291431.67</c:v>
                </c:pt>
                <c:pt idx="10">
                  <c:v>11508958.550000001</c:v>
                </c:pt>
                <c:pt idx="11">
                  <c:v>12684247.350000001</c:v>
                </c:pt>
                <c:pt idx="12">
                  <c:v>13631976.170000002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371-4EDB-8BA1-697C1047F2A0}"/>
            </c:ext>
          </c:extLst>
        </c:ser>
        <c:ser>
          <c:idx val="5"/>
          <c:order val="2"/>
          <c:tx>
            <c:v>Goal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20"/>
            <c:spPr>
              <a:solidFill>
                <a:srgbClr val="00B050"/>
              </a:solidFill>
              <a:ln w="15875">
                <a:noFill/>
                <a:round/>
              </a:ln>
              <a:effectLst/>
            </c:spPr>
          </c:marker>
          <c:dPt>
            <c:idx val="12"/>
            <c:marker>
              <c:symbol val="dash"/>
              <c:size val="20"/>
              <c:spPr>
                <a:solidFill>
                  <a:srgbClr val="00B050"/>
                </a:solidFill>
                <a:ln w="1587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7371-4EDB-8BA1-697C1047F2A0}"/>
              </c:ext>
            </c:extLst>
          </c:dPt>
          <c:dLbls>
            <c:dLbl>
              <c:idx val="1"/>
              <c:layout>
                <c:manualLayout>
                  <c:x val="-7.4847567131031703E-2"/>
                  <c:y val="-6.1327638399755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71-4EDB-8BA1-697C1047F2A0}"/>
                </c:ext>
              </c:extLst>
            </c:dLbl>
            <c:dLbl>
              <c:idx val="2"/>
              <c:layout>
                <c:manualLayout>
                  <c:x val="-8.3994420277884868E-2"/>
                  <c:y val="-7.8223019228812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371-4EDB-8BA1-697C1047F2A0}"/>
                </c:ext>
              </c:extLst>
            </c:dLbl>
            <c:dLbl>
              <c:idx val="3"/>
              <c:layout>
                <c:manualLayout>
                  <c:x val="-8.3931134482315581E-2"/>
                  <c:y val="-8.9023823001733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71-4EDB-8BA1-697C1047F2A0}"/>
                </c:ext>
              </c:extLst>
            </c:dLbl>
            <c:dLbl>
              <c:idx val="4"/>
              <c:layout>
                <c:manualLayout>
                  <c:x val="-7.7449837681386163E-2"/>
                  <c:y val="-0.104554909483023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371-4EDB-8BA1-697C1047F2A0}"/>
                </c:ext>
              </c:extLst>
            </c:dLbl>
            <c:dLbl>
              <c:idx val="5"/>
              <c:layout>
                <c:manualLayout>
                  <c:x val="-7.744043358216593E-2"/>
                  <c:y val="-0.10241846827258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71-4EDB-8BA1-697C1047F2A0}"/>
                </c:ext>
              </c:extLst>
            </c:dLbl>
            <c:dLbl>
              <c:idx val="6"/>
              <c:layout>
                <c:manualLayout>
                  <c:x val="-7.7438320209973821E-2"/>
                  <c:y val="-9.1736262220401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71-4EDB-8BA1-697C1047F2A0}"/>
                </c:ext>
              </c:extLst>
            </c:dLbl>
            <c:dLbl>
              <c:idx val="7"/>
              <c:layout>
                <c:manualLayout>
                  <c:x val="-7.7448316893553942E-2"/>
                  <c:y val="-0.10241846827258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71-4EDB-8BA1-697C1047F2A0}"/>
                </c:ext>
              </c:extLst>
            </c:dLbl>
            <c:dLbl>
              <c:idx val="8"/>
              <c:layout>
                <c:manualLayout>
                  <c:x val="-7.7448316893554081E-2"/>
                  <c:y val="-9.8145585851712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371-4EDB-8BA1-697C1047F2A0}"/>
                </c:ext>
              </c:extLst>
            </c:dLbl>
            <c:dLbl>
              <c:idx val="9"/>
              <c:layout>
                <c:manualLayout>
                  <c:x val="-7.7451776132015301E-2"/>
                  <c:y val="-0.102418468272586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71-4EDB-8BA1-697C1047F2A0}"/>
                </c:ext>
              </c:extLst>
            </c:dLbl>
            <c:dLbl>
              <c:idx val="10"/>
              <c:layout>
                <c:manualLayout>
                  <c:x val="-8.3022514514429185E-2"/>
                  <c:y val="-9.6009144641275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371-4EDB-8BA1-697C1047F2A0}"/>
                </c:ext>
              </c:extLst>
            </c:dLbl>
            <c:dLbl>
              <c:idx val="11"/>
              <c:layout>
                <c:manualLayout>
                  <c:x val="-8.3009033462354387E-2"/>
                  <c:y val="-8.9599821009964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71-4EDB-8BA1-697C1047F2A0}"/>
                </c:ext>
              </c:extLst>
            </c:dLbl>
            <c:dLbl>
              <c:idx val="12"/>
              <c:layout>
                <c:manualLayout>
                  <c:x val="-2.7755370155878784E-2"/>
                  <c:y val="-8.4960556716541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71-4EDB-8BA1-697C1047F2A0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'2025'!$C$1:$O$1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'2025'!$C$6:$O$6</c:f>
              <c:numCache>
                <c:formatCode>"$"#,##0.00</c:formatCode>
                <c:ptCount val="13"/>
                <c:pt idx="0">
                  <c:v>0</c:v>
                </c:pt>
                <c:pt idx="1">
                  <c:v>920940</c:v>
                </c:pt>
                <c:pt idx="2">
                  <c:v>1866564</c:v>
                </c:pt>
                <c:pt idx="3">
                  <c:v>2834504</c:v>
                </c:pt>
                <c:pt idx="4">
                  <c:v>3978082</c:v>
                </c:pt>
                <c:pt idx="5">
                  <c:v>5071660</c:v>
                </c:pt>
                <c:pt idx="6">
                  <c:v>6165238</c:v>
                </c:pt>
                <c:pt idx="7">
                  <c:v>7225907</c:v>
                </c:pt>
                <c:pt idx="8">
                  <c:v>8356942</c:v>
                </c:pt>
                <c:pt idx="9">
                  <c:v>9487977</c:v>
                </c:pt>
                <c:pt idx="10">
                  <c:v>10603331</c:v>
                </c:pt>
                <c:pt idx="11">
                  <c:v>11718685</c:v>
                </c:pt>
                <c:pt idx="12">
                  <c:v>12699999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371-4EDB-8BA1-697C1047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224424"/>
        <c:axId val="368590016"/>
      </c:lineChart>
      <c:catAx>
        <c:axId val="46322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0"/>
                  <a:lumOff val="50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90016"/>
        <c:crosses val="autoZero"/>
        <c:auto val="1"/>
        <c:lblAlgn val="ctr"/>
        <c:lblOffset val="100"/>
        <c:noMultiLvlLbl val="0"/>
      </c:catAx>
      <c:valAx>
        <c:axId val="368590016"/>
        <c:scaling>
          <c:orientation val="minMax"/>
          <c:max val="16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54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24424"/>
        <c:crosses val="autoZero"/>
        <c:crossBetween val="midCat"/>
        <c:majorUnit val="1000000"/>
      </c:val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301340894564352"/>
          <c:y val="0.11897420541629902"/>
          <c:w val="7.3743296074004733E-2"/>
          <c:h val="0.21276195586987223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 sz="1600">
                <a:solidFill>
                  <a:schemeClr val="bg1"/>
                </a:solidFill>
              </a:rPr>
              <a:t>2024 Monthly Sales </a:t>
            </a:r>
          </a:p>
        </c:rich>
      </c:tx>
      <c:layout>
        <c:manualLayout>
          <c:xMode val="edge"/>
          <c:yMode val="edge"/>
          <c:x val="0.43765468127672852"/>
          <c:y val="1.2152798467759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34997598990983E-2"/>
          <c:y val="6.4472440944881887E-2"/>
          <c:w val="0.9004987633669943"/>
          <c:h val="0.85760743420585939"/>
        </c:manualLayout>
      </c:layout>
      <c:lineChart>
        <c:grouping val="standard"/>
        <c:varyColors val="0"/>
        <c:ser>
          <c:idx val="7"/>
          <c:order val="0"/>
          <c:tx>
            <c:v>Written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FFC000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7.5861660609473691E-2"/>
                  <c:y val="-8.031168490351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37-45C3-891B-D1C93B51BFD0}"/>
                </c:ext>
              </c:extLst>
            </c:dLbl>
            <c:dLbl>
              <c:idx val="2"/>
              <c:layout>
                <c:manualLayout>
                  <c:x val="-7.7959069801589509E-2"/>
                  <c:y val="-8.2663452472173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37-45C3-891B-D1C93B51BFD0}"/>
                </c:ext>
              </c:extLst>
            </c:dLbl>
            <c:dLbl>
              <c:idx val="3"/>
              <c:layout>
                <c:manualLayout>
                  <c:x val="-7.7956986293482411E-2"/>
                  <c:y val="-9.3552069025555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37-45C3-891B-D1C93B51BFD0}"/>
                </c:ext>
              </c:extLst>
            </c:dLbl>
            <c:dLbl>
              <c:idx val="4"/>
              <c:layout>
                <c:manualLayout>
                  <c:x val="-7.7032071660672136E-2"/>
                  <c:y val="-9.8787527557147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37-45C3-891B-D1C93B51BFD0}"/>
                </c:ext>
              </c:extLst>
            </c:dLbl>
            <c:dLbl>
              <c:idx val="5"/>
              <c:layout>
                <c:manualLayout>
                  <c:x val="-7.6908235592854882E-2"/>
                  <c:y val="-0.100386493990628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37-45C3-891B-D1C93B51BFD0}"/>
                </c:ext>
              </c:extLst>
            </c:dLbl>
            <c:dLbl>
              <c:idx val="6"/>
              <c:layout>
                <c:manualLayout>
                  <c:x val="-7.7862512826444907E-2"/>
                  <c:y val="-9.05640793578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37-45C3-891B-D1C93B51BFD0}"/>
                </c:ext>
              </c:extLst>
            </c:dLbl>
            <c:dLbl>
              <c:idx val="7"/>
              <c:layout>
                <c:manualLayout>
                  <c:x val="-7.7091203481550519E-2"/>
                  <c:y val="-8.32397869278395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37-45C3-891B-D1C93B51BFD0}"/>
                </c:ext>
              </c:extLst>
            </c:dLbl>
            <c:dLbl>
              <c:idx val="8"/>
              <c:layout>
                <c:manualLayout>
                  <c:x val="-7.7389259345106903E-2"/>
                  <c:y val="-9.06820041837238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37-45C3-891B-D1C93B51BFD0}"/>
                </c:ext>
              </c:extLst>
            </c:dLbl>
            <c:dLbl>
              <c:idx val="9"/>
              <c:layout>
                <c:manualLayout>
                  <c:x val="-7.7270212930346555E-2"/>
                  <c:y val="-9.5546697642260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37-45C3-891B-D1C93B51BFD0}"/>
                </c:ext>
              </c:extLst>
            </c:dLbl>
            <c:dLbl>
              <c:idx val="10"/>
              <c:layout>
                <c:manualLayout>
                  <c:x val="-7.7387866560697766E-2"/>
                  <c:y val="-8.4993014510136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37-45C3-891B-D1C93B51BFD0}"/>
                </c:ext>
              </c:extLst>
            </c:dLbl>
            <c:dLbl>
              <c:idx val="11"/>
              <c:layout>
                <c:manualLayout>
                  <c:x val="-8.2800080165738407E-2"/>
                  <c:y val="-6.68201427714689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37-45C3-891B-D1C93B51BFD0}"/>
                </c:ext>
              </c:extLst>
            </c:dLbl>
            <c:dLbl>
              <c:idx val="12"/>
              <c:layout>
                <c:manualLayout>
                  <c:x val="-2.6998026204578918E-2"/>
                  <c:y val="-4.2728824208738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8B-4BF2-877E-2345D2B06710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'2024'!$B$2:$N$2</c:f>
              <c:numCache>
                <c:formatCode>"$"#,##0.00</c:formatCode>
                <c:ptCount val="13"/>
                <c:pt idx="0">
                  <c:v>0</c:v>
                </c:pt>
                <c:pt idx="1">
                  <c:v>844942.9600000002</c:v>
                </c:pt>
                <c:pt idx="2">
                  <c:v>1837520.9700000002</c:v>
                </c:pt>
                <c:pt idx="3">
                  <c:v>2592888.0100000002</c:v>
                </c:pt>
                <c:pt idx="4">
                  <c:v>3662612.7199999997</c:v>
                </c:pt>
                <c:pt idx="5">
                  <c:v>4554326.7899999991</c:v>
                </c:pt>
                <c:pt idx="6">
                  <c:v>5701911.7299999986</c:v>
                </c:pt>
                <c:pt idx="7">
                  <c:v>6717868.4399999985</c:v>
                </c:pt>
                <c:pt idx="8">
                  <c:v>7751572.3499999987</c:v>
                </c:pt>
                <c:pt idx="9">
                  <c:v>8712512.1199999992</c:v>
                </c:pt>
                <c:pt idx="10">
                  <c:v>9851744.3999999985</c:v>
                </c:pt>
                <c:pt idx="11">
                  <c:v>11238977.159999998</c:v>
                </c:pt>
                <c:pt idx="12">
                  <c:v>12457385.989999998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37-45C3-891B-D1C93B51BFD0}"/>
            </c:ext>
          </c:extLst>
        </c:ser>
        <c:ser>
          <c:idx val="0"/>
          <c:order val="1"/>
          <c:tx>
            <c:v>Invoiced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00B0F0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37-45C3-891B-D1C93B51BFD0}"/>
                </c:ext>
              </c:extLst>
            </c:dLbl>
            <c:dLbl>
              <c:idx val="1"/>
              <c:layout>
                <c:manualLayout>
                  <c:x val="-7.4850775781506507E-2"/>
                  <c:y val="-5.0747544144006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37-45C3-891B-D1C93B51BFD0}"/>
                </c:ext>
              </c:extLst>
            </c:dLbl>
            <c:dLbl>
              <c:idx val="2"/>
              <c:layout>
                <c:manualLayout>
                  <c:x val="-7.7062276306370789E-2"/>
                  <c:y val="-6.8508940670018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A37-45C3-891B-D1C93B51BFD0}"/>
                </c:ext>
              </c:extLst>
            </c:dLbl>
            <c:dLbl>
              <c:idx val="3"/>
              <c:layout>
                <c:manualLayout>
                  <c:x val="-7.7992661463659199E-2"/>
                  <c:y val="-7.82558228536966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A37-45C3-891B-D1C93B51BFD0}"/>
                </c:ext>
              </c:extLst>
            </c:dLbl>
            <c:dLbl>
              <c:idx val="4"/>
              <c:layout>
                <c:manualLayout>
                  <c:x val="-7.7992935492864998E-2"/>
                  <c:y val="-8.8402909260968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A37-45C3-891B-D1C93B51BFD0}"/>
                </c:ext>
              </c:extLst>
            </c:dLbl>
            <c:dLbl>
              <c:idx val="5"/>
              <c:layout>
                <c:manualLayout>
                  <c:x val="-7.7839202013702355E-2"/>
                  <c:y val="-9.023116462120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A37-45C3-891B-D1C93B51BFD0}"/>
                </c:ext>
              </c:extLst>
            </c:dLbl>
            <c:dLbl>
              <c:idx val="6"/>
              <c:layout>
                <c:manualLayout>
                  <c:x val="-7.7862512826444907E-2"/>
                  <c:y val="-8.5819329409795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A37-45C3-891B-D1C93B51BFD0}"/>
                </c:ext>
              </c:extLst>
            </c:dLbl>
            <c:dLbl>
              <c:idx val="7"/>
              <c:layout>
                <c:manualLayout>
                  <c:x val="-7.7091185247170887E-2"/>
                  <c:y val="-7.9354969633375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A37-45C3-891B-D1C93B51BFD0}"/>
                </c:ext>
              </c:extLst>
            </c:dLbl>
            <c:dLbl>
              <c:idx val="8"/>
              <c:layout>
                <c:manualLayout>
                  <c:x val="-7.7389277389277519E-2"/>
                  <c:y val="-8.8288288288288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A37-45C3-891B-D1C93B51BFD0}"/>
                </c:ext>
              </c:extLst>
            </c:dLbl>
            <c:dLbl>
              <c:idx val="9"/>
              <c:layout>
                <c:manualLayout>
                  <c:x val="-7.7389259345106903E-2"/>
                  <c:y val="-8.4941874500060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A37-45C3-891B-D1C93B51BFD0}"/>
                </c:ext>
              </c:extLst>
            </c:dLbl>
            <c:dLbl>
              <c:idx val="10"/>
              <c:layout>
                <c:manualLayout>
                  <c:x val="-7.7389259345106903E-2"/>
                  <c:y val="-8.2934124433401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A37-45C3-891B-D1C93B51BFD0}"/>
                </c:ext>
              </c:extLst>
            </c:dLbl>
            <c:dLbl>
              <c:idx val="11"/>
              <c:layout>
                <c:manualLayout>
                  <c:x val="-8.2800080165738407E-2"/>
                  <c:y val="-8.3191338497240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A37-45C3-891B-D1C93B51BFD0}"/>
                </c:ext>
              </c:extLst>
            </c:dLbl>
            <c:dLbl>
              <c:idx val="12"/>
              <c:layout>
                <c:manualLayout>
                  <c:x val="-2.6998026204578918E-2"/>
                  <c:y val="-7.2639001154855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8B-4BF2-877E-2345D2B06710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'2024'!$B$4:$N$4</c:f>
              <c:numCache>
                <c:formatCode>"$"#,##0.00</c:formatCode>
                <c:ptCount val="13"/>
                <c:pt idx="0">
                  <c:v>0</c:v>
                </c:pt>
                <c:pt idx="1">
                  <c:v>881453.75999999989</c:v>
                </c:pt>
                <c:pt idx="2">
                  <c:v>1616151.42</c:v>
                </c:pt>
                <c:pt idx="3">
                  <c:v>2396835.23</c:v>
                </c:pt>
                <c:pt idx="4">
                  <c:v>3339320.52</c:v>
                </c:pt>
                <c:pt idx="5">
                  <c:v>4264036.3499999996</c:v>
                </c:pt>
                <c:pt idx="6">
                  <c:v>5318211.26</c:v>
                </c:pt>
                <c:pt idx="7">
                  <c:v>6342115.5199999996</c:v>
                </c:pt>
                <c:pt idx="8">
                  <c:v>7352241.9299999997</c:v>
                </c:pt>
                <c:pt idx="9">
                  <c:v>8415852.5599999987</c:v>
                </c:pt>
                <c:pt idx="10">
                  <c:v>9440749.8199999984</c:v>
                </c:pt>
                <c:pt idx="11">
                  <c:v>10540614.379999999</c:v>
                </c:pt>
                <c:pt idx="12">
                  <c:v>11554838.399999999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A37-45C3-891B-D1C93B51BFD0}"/>
            </c:ext>
          </c:extLst>
        </c:ser>
        <c:ser>
          <c:idx val="5"/>
          <c:order val="2"/>
          <c:tx>
            <c:v>Goal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20"/>
            <c:spPr>
              <a:solidFill>
                <a:srgbClr val="00B050"/>
              </a:solidFill>
              <a:ln w="15875">
                <a:noFill/>
                <a:round/>
              </a:ln>
              <a:effectLst/>
            </c:spPr>
          </c:marker>
          <c:dPt>
            <c:idx val="12"/>
            <c:marker>
              <c:symbol val="dash"/>
              <c:size val="20"/>
              <c:spPr>
                <a:solidFill>
                  <a:srgbClr val="00B050"/>
                </a:solidFill>
                <a:ln w="1587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EA37-45C3-891B-D1C93B51BFD0}"/>
              </c:ext>
            </c:extLst>
          </c:dPt>
          <c:dLbls>
            <c:dLbl>
              <c:idx val="1"/>
              <c:layout>
                <c:manualLayout>
                  <c:x val="-8.137440862185992E-2"/>
                  <c:y val="-2.2871696611890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A37-45C3-891B-D1C93B51BFD0}"/>
                </c:ext>
              </c:extLst>
            </c:dLbl>
            <c:dLbl>
              <c:idx val="2"/>
              <c:layout>
                <c:manualLayout>
                  <c:x val="-8.3994420277884868E-2"/>
                  <c:y val="-3.1221312599199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A37-45C3-891B-D1C93B51BFD0}"/>
                </c:ext>
              </c:extLst>
            </c:dLbl>
            <c:dLbl>
              <c:idx val="3"/>
              <c:layout>
                <c:manualLayout>
                  <c:x val="-8.3931148826188004E-2"/>
                  <c:y val="-2.27941454781885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A37-45C3-891B-D1C93B51BFD0}"/>
                </c:ext>
              </c:extLst>
            </c:dLbl>
            <c:dLbl>
              <c:idx val="4"/>
              <c:layout>
                <c:manualLayout>
                  <c:x val="-8.2633117157900712E-2"/>
                  <c:y val="-2.76430259072935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A37-45C3-891B-D1C93B51BFD0}"/>
                </c:ext>
              </c:extLst>
            </c:dLbl>
            <c:dLbl>
              <c:idx val="5"/>
              <c:layout>
                <c:manualLayout>
                  <c:x val="-8.2635242152267571E-2"/>
                  <c:y val="-2.5506584696856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A37-45C3-891B-D1C93B51BFD0}"/>
                </c:ext>
              </c:extLst>
            </c:dLbl>
            <c:dLbl>
              <c:idx val="6"/>
              <c:layout>
                <c:manualLayout>
                  <c:x val="-8.263309264552661E-2"/>
                  <c:y val="-2.1233702275982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A37-45C3-891B-D1C93B51BFD0}"/>
                </c:ext>
              </c:extLst>
            </c:dLbl>
            <c:dLbl>
              <c:idx val="7"/>
              <c:layout>
                <c:manualLayout>
                  <c:x val="-8.2633081993174567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A37-45C3-891B-D1C93B51BFD0}"/>
                </c:ext>
              </c:extLst>
            </c:dLbl>
            <c:dLbl>
              <c:idx val="8"/>
              <c:layout>
                <c:manualLayout>
                  <c:x val="-8.2633081993174706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A37-45C3-891B-D1C93B51BFD0}"/>
                </c:ext>
              </c:extLst>
            </c:dLbl>
            <c:dLbl>
              <c:idx val="9"/>
              <c:layout>
                <c:manualLayout>
                  <c:x val="-8.2633081993174567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A37-45C3-891B-D1C93B51BFD0}"/>
                </c:ext>
              </c:extLst>
            </c:dLbl>
            <c:dLbl>
              <c:idx val="10"/>
              <c:layout>
                <c:manualLayout>
                  <c:x val="-8.8203851565748129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A37-45C3-891B-D1C93B51BFD0}"/>
                </c:ext>
              </c:extLst>
            </c:dLbl>
            <c:dLbl>
              <c:idx val="11"/>
              <c:layout>
                <c:manualLayout>
                  <c:x val="-8.8203851565748129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A37-45C3-891B-D1C93B51BFD0}"/>
                </c:ext>
              </c:extLst>
            </c:dLbl>
            <c:dLbl>
              <c:idx val="12"/>
              <c:layout>
                <c:manualLayout>
                  <c:x val="-2.7755373235688198E-2"/>
                  <c:y val="-2.057487408668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A37-45C3-891B-D1C93B51BFD0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'2024'!$B$6:$N$6</c:f>
              <c:numCache>
                <c:formatCode>"$"#,##0.00</c:formatCode>
                <c:ptCount val="13"/>
                <c:pt idx="0">
                  <c:v>0</c:v>
                </c:pt>
                <c:pt idx="1">
                  <c:v>900000</c:v>
                </c:pt>
                <c:pt idx="2">
                  <c:v>1800000</c:v>
                </c:pt>
                <c:pt idx="3">
                  <c:v>2821450</c:v>
                </c:pt>
                <c:pt idx="4">
                  <c:v>3856450</c:v>
                </c:pt>
                <c:pt idx="5">
                  <c:v>4891450</c:v>
                </c:pt>
                <c:pt idx="6">
                  <c:v>5966450</c:v>
                </c:pt>
                <c:pt idx="7">
                  <c:v>6932704.9242424248</c:v>
                </c:pt>
                <c:pt idx="8">
                  <c:v>7994629.924242422</c:v>
                </c:pt>
                <c:pt idx="9">
                  <c:v>9064224.9999999981</c:v>
                </c:pt>
                <c:pt idx="10">
                  <c:v>10030479.924242426</c:v>
                </c:pt>
                <c:pt idx="11">
                  <c:v>11113075.000000002</c:v>
                </c:pt>
                <c:pt idx="12">
                  <c:v>12000000.000000002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A37-45C3-891B-D1C93B51B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792128"/>
        <c:axId val="368792512"/>
      </c:lineChart>
      <c:catAx>
        <c:axId val="36879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0"/>
                  <a:lumOff val="50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92512"/>
        <c:crosses val="autoZero"/>
        <c:auto val="1"/>
        <c:lblAlgn val="ctr"/>
        <c:lblOffset val="100"/>
        <c:noMultiLvlLbl val="0"/>
      </c:catAx>
      <c:valAx>
        <c:axId val="368792512"/>
        <c:scaling>
          <c:orientation val="minMax"/>
          <c:max val="14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54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92128"/>
        <c:crosses val="autoZero"/>
        <c:crossBetween val="midCat"/>
        <c:majorUnit val="1000000"/>
      </c:val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34328139052549"/>
          <c:y val="0.37321070945829438"/>
          <c:w val="7.3743296074004733E-2"/>
          <c:h val="0.24267219975881393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 sz="1600">
                <a:solidFill>
                  <a:schemeClr val="bg1"/>
                </a:solidFill>
              </a:rPr>
              <a:t>2023 Monthly Sales (Additive)</a:t>
            </a:r>
          </a:p>
        </c:rich>
      </c:tx>
      <c:layout>
        <c:manualLayout>
          <c:xMode val="edge"/>
          <c:yMode val="edge"/>
          <c:x val="0.41341228652557832"/>
          <c:y val="1.2152756328409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34997598990983E-2"/>
          <c:y val="6.4472440944881887E-2"/>
          <c:w val="0.9004987633669943"/>
          <c:h val="0.85760743420585939"/>
        </c:manualLayout>
      </c:layout>
      <c:lineChart>
        <c:grouping val="standard"/>
        <c:varyColors val="0"/>
        <c:ser>
          <c:idx val="7"/>
          <c:order val="0"/>
          <c:tx>
            <c:v>Sales Written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FFC000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6.8670481742168263E-2"/>
                  <c:y val="-6.7493028215223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4A-41E4-A66B-092FBC58545B}"/>
                </c:ext>
              </c:extLst>
            </c:dLbl>
            <c:dLbl>
              <c:idx val="2"/>
              <c:layout>
                <c:manualLayout>
                  <c:x val="-7.7026636101028612E-2"/>
                  <c:y val="-6.7708333333333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14-4842-A7E7-5A6C8B30249E}"/>
                </c:ext>
              </c:extLst>
            </c:dLbl>
            <c:dLbl>
              <c:idx val="3"/>
              <c:layout>
                <c:manualLayout>
                  <c:x val="-7.7026636101028612E-2"/>
                  <c:y val="-6.5778379265091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4A-41E4-A66B-092FBC58545B}"/>
                </c:ext>
              </c:extLst>
            </c:dLbl>
            <c:dLbl>
              <c:idx val="4"/>
              <c:layout>
                <c:manualLayout>
                  <c:x val="-7.7032046034734333E-2"/>
                  <c:y val="-7.955954724409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24-4797-92AE-2CBF8720ACC6}"/>
                </c:ext>
              </c:extLst>
            </c:dLbl>
            <c:dLbl>
              <c:idx val="5"/>
              <c:layout>
                <c:manualLayout>
                  <c:x val="-7.690824899156877E-2"/>
                  <c:y val="-8.1158491670497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20-416C-A5C3-AD1D9FF5804B}"/>
                </c:ext>
              </c:extLst>
            </c:dLbl>
            <c:dLbl>
              <c:idx val="6"/>
              <c:layout>
                <c:manualLayout>
                  <c:x val="-7.6931554198393051E-2"/>
                  <c:y val="-6.4926793336397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B0-4545-BD5C-829FB82500DA}"/>
                </c:ext>
              </c:extLst>
            </c:dLbl>
            <c:dLbl>
              <c:idx val="7"/>
              <c:layout>
                <c:manualLayout>
                  <c:x val="-7.7091185247170887E-2"/>
                  <c:y val="-0.10460427815308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7B-48DC-81E9-1BD2D68B2EC2}"/>
                </c:ext>
              </c:extLst>
            </c:dLbl>
            <c:dLbl>
              <c:idx val="8"/>
              <c:layout>
                <c:manualLayout>
                  <c:x val="-7.7389274040753034E-2"/>
                  <c:y val="-0.109909909909909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0D-4D9A-89A9-6354D3B8FE68}"/>
                </c:ext>
              </c:extLst>
            </c:dLbl>
            <c:dLbl>
              <c:idx val="9"/>
              <c:layout>
                <c:manualLayout>
                  <c:x val="-7.7270212930346555E-2"/>
                  <c:y val="-0.12972972972972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31-4559-9442-044E6F63B832}"/>
                </c:ext>
              </c:extLst>
            </c:dLbl>
            <c:dLbl>
              <c:idx val="10"/>
              <c:layout>
                <c:manualLayout>
                  <c:x val="-7.645687645687646E-2"/>
                  <c:y val="-0.140540540540540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BA-4F08-B296-A2C06CBED9F4}"/>
                </c:ext>
              </c:extLst>
            </c:dLbl>
            <c:dLbl>
              <c:idx val="11"/>
              <c:layout>
                <c:manualLayout>
                  <c:x val="-8.2800092096147734E-2"/>
                  <c:y val="-0.16936936936936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8C-488E-A203-FA40F818DDD3}"/>
                </c:ext>
              </c:extLst>
            </c:dLbl>
            <c:dLbl>
              <c:idx val="12"/>
              <c:layout>
                <c:manualLayout>
                  <c:x val="-2.5174825174825312E-2"/>
                  <c:y val="-0.18018018018018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D2-458D-B0E5-2888AD20A63A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'2023'!$B$2:$N$2</c:f>
              <c:numCache>
                <c:formatCode>_(* #,##0.00_);_(* \(#,##0.00\);_(* "-"??_);_(@_)</c:formatCode>
                <c:ptCount val="13"/>
                <c:pt idx="0" formatCode="General">
                  <c:v>0</c:v>
                </c:pt>
                <c:pt idx="1">
                  <c:v>852827.79</c:v>
                </c:pt>
                <c:pt idx="2" formatCode="#,##0.00">
                  <c:v>1941736.86</c:v>
                </c:pt>
                <c:pt idx="3" formatCode="#,##0.00">
                  <c:v>2877487.69</c:v>
                </c:pt>
                <c:pt idx="4" formatCode="#,##0.00">
                  <c:v>3609987.3</c:v>
                </c:pt>
                <c:pt idx="5" formatCode="#,##0.00">
                  <c:v>4825078.24</c:v>
                </c:pt>
                <c:pt idx="6" formatCode="#,##0.00">
                  <c:v>5866636.1299999999</c:v>
                </c:pt>
                <c:pt idx="7" formatCode="#,##0.00">
                  <c:v>6423941.4299999997</c:v>
                </c:pt>
                <c:pt idx="8" formatCode="#,##0.00">
                  <c:v>7540840.1399999997</c:v>
                </c:pt>
                <c:pt idx="9" formatCode="#,##0.00">
                  <c:v>8338579.6799999997</c:v>
                </c:pt>
                <c:pt idx="10" formatCode="#,##0.00">
                  <c:v>9319105.4800000004</c:v>
                </c:pt>
                <c:pt idx="11" formatCode="#,##0.00">
                  <c:v>10067554.610000001</c:v>
                </c:pt>
                <c:pt idx="12" formatCode="#,##0.00">
                  <c:v>10792586.670000002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6A-43AF-88DA-AF3F75FCB2E2}"/>
            </c:ext>
          </c:extLst>
        </c:ser>
        <c:ser>
          <c:idx val="0"/>
          <c:order val="1"/>
          <c:tx>
            <c:v>Sales Billed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rgbClr val="00B0F0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BB-46C4-948F-44CB726DA3A3}"/>
                </c:ext>
              </c:extLst>
            </c:dLbl>
            <c:dLbl>
              <c:idx val="1"/>
              <c:layout>
                <c:manualLayout>
                  <c:x val="-6.8686930864921919E-2"/>
                  <c:y val="-4.8611111111111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BB-46C4-948F-44CB726DA3A3}"/>
                </c:ext>
              </c:extLst>
            </c:dLbl>
            <c:dLbl>
              <c:idx val="2"/>
              <c:layout>
                <c:manualLayout>
                  <c:x val="-7.7062312420600992E-2"/>
                  <c:y val="-6.4236111111111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BB-46C4-948F-44CB726DA3A3}"/>
                </c:ext>
              </c:extLst>
            </c:dLbl>
            <c:dLbl>
              <c:idx val="3"/>
              <c:layout>
                <c:manualLayout>
                  <c:x val="-7.7062312420600992E-2"/>
                  <c:y val="-5.902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BB-46C4-948F-44CB726DA3A3}"/>
                </c:ext>
              </c:extLst>
            </c:dLbl>
            <c:dLbl>
              <c:idx val="4"/>
              <c:layout>
                <c:manualLayout>
                  <c:x val="-7.7062312420601034E-2"/>
                  <c:y val="-5.2083333333333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BB-46C4-948F-44CB726DA3A3}"/>
                </c:ext>
              </c:extLst>
            </c:dLbl>
            <c:dLbl>
              <c:idx val="5"/>
              <c:layout>
                <c:manualLayout>
                  <c:x val="-7.690824899156877E-2"/>
                  <c:y val="-6.673031537352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20-416C-A5C3-AD1D9FF5804B}"/>
                </c:ext>
              </c:extLst>
            </c:dLbl>
            <c:dLbl>
              <c:idx val="6"/>
              <c:layout>
                <c:manualLayout>
                  <c:x val="-7.6931554198393051E-2"/>
                  <c:y val="-5.5909183150787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B0-4545-BD5C-829FB82500DA}"/>
                </c:ext>
              </c:extLst>
            </c:dLbl>
            <c:dLbl>
              <c:idx val="7"/>
              <c:layout>
                <c:manualLayout>
                  <c:x val="-7.7091185247170887E-2"/>
                  <c:y val="-7.9354969633375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7B-48DC-81E9-1BD2D68B2EC2}"/>
                </c:ext>
              </c:extLst>
            </c:dLbl>
            <c:dLbl>
              <c:idx val="8"/>
              <c:layout>
                <c:manualLayout>
                  <c:x val="-7.7389277389277519E-2"/>
                  <c:y val="-8.8288288288288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0D-4D9A-89A9-6354D3B8FE68}"/>
                </c:ext>
              </c:extLst>
            </c:dLbl>
            <c:dLbl>
              <c:idx val="9"/>
              <c:layout>
                <c:manualLayout>
                  <c:x val="-7.7389259345106903E-2"/>
                  <c:y val="-0.10630630630630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31-4559-9442-044E6F63B832}"/>
                </c:ext>
              </c:extLst>
            </c:dLbl>
            <c:dLbl>
              <c:idx val="10"/>
              <c:layout>
                <c:manualLayout>
                  <c:x val="-7.7389277389277394E-2"/>
                  <c:y val="-0.117117117117117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BA-4F08-B296-A2C06CBED9F4}"/>
                </c:ext>
              </c:extLst>
            </c:dLbl>
            <c:dLbl>
              <c:idx val="11"/>
              <c:layout>
                <c:manualLayout>
                  <c:x val="-8.2800092096147734E-2"/>
                  <c:y val="-0.13873873873873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8C-488E-A203-FA40F818DDD3}"/>
                </c:ext>
              </c:extLst>
            </c:dLbl>
            <c:dLbl>
              <c:idx val="12"/>
              <c:layout>
                <c:manualLayout>
                  <c:x val="-2.6107226107226107E-2"/>
                  <c:y val="-0.140540540540540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D2-458D-B0E5-2888AD20A63A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'2023'!$B$5:$N$5</c:f>
              <c:numCache>
                <c:formatCode>General</c:formatCode>
                <c:ptCount val="13"/>
                <c:pt idx="0">
                  <c:v>0</c:v>
                </c:pt>
                <c:pt idx="1">
                  <c:v>806590.68</c:v>
                </c:pt>
                <c:pt idx="2">
                  <c:v>1625399.05</c:v>
                </c:pt>
                <c:pt idx="3">
                  <c:v>2612447.2000000002</c:v>
                </c:pt>
                <c:pt idx="4">
                  <c:v>3706819.85</c:v>
                </c:pt>
                <c:pt idx="5">
                  <c:v>4686154.96</c:v>
                </c:pt>
                <c:pt idx="6">
                  <c:v>5659758.9399999995</c:v>
                </c:pt>
                <c:pt idx="7">
                  <c:v>6477805.1399999997</c:v>
                </c:pt>
                <c:pt idx="8" formatCode="#,##0.00">
                  <c:v>7489595.9799999995</c:v>
                </c:pt>
                <c:pt idx="9" formatCode="#,##0.00">
                  <c:v>8386523.3899999997</c:v>
                </c:pt>
                <c:pt idx="10" formatCode="#,##0.00">
                  <c:v>9365238.1999999993</c:v>
                </c:pt>
                <c:pt idx="11" formatCode="#,##0.00">
                  <c:v>10223218.639999999</c:v>
                </c:pt>
                <c:pt idx="12" formatCode="#,##0.00">
                  <c:v>11074512.939999999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09-44E2-A490-7EC50D468038}"/>
            </c:ext>
          </c:extLst>
        </c:ser>
        <c:ser>
          <c:idx val="5"/>
          <c:order val="2"/>
          <c:tx>
            <c:v>Goal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20"/>
            <c:spPr>
              <a:solidFill>
                <a:srgbClr val="00B050"/>
              </a:solidFill>
              <a:ln w="15875">
                <a:noFill/>
                <a:round/>
              </a:ln>
              <a:effectLst/>
            </c:spPr>
          </c:marker>
          <c:dPt>
            <c:idx val="12"/>
            <c:marker>
              <c:symbol val="dash"/>
              <c:size val="20"/>
              <c:spPr>
                <a:solidFill>
                  <a:srgbClr val="00B050"/>
                </a:solidFill>
                <a:ln w="1587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46A-43AF-88DA-AF3F75FCB2E2}"/>
              </c:ext>
            </c:extLst>
          </c:dPt>
          <c:dLbls>
            <c:dLbl>
              <c:idx val="1"/>
              <c:layout>
                <c:manualLayout>
                  <c:x val="-7.4276927634314233E-2"/>
                  <c:y val="-2.9513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4A-41E4-A66B-092FBC58545B}"/>
                </c:ext>
              </c:extLst>
            </c:dLbl>
            <c:dLbl>
              <c:idx val="2"/>
              <c:layout>
                <c:manualLayout>
                  <c:x val="-8.2633081993174567E-2"/>
                  <c:y val="-4.6875000000000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14-4842-A7E7-5A6C8B30249E}"/>
                </c:ext>
              </c:extLst>
            </c:dLbl>
            <c:dLbl>
              <c:idx val="3"/>
              <c:layout>
                <c:manualLayout>
                  <c:x val="-8.2633081993174567E-2"/>
                  <c:y val="-2.9513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14-4842-A7E7-5A6C8B30249E}"/>
                </c:ext>
              </c:extLst>
            </c:dLbl>
            <c:dLbl>
              <c:idx val="4"/>
              <c:layout>
                <c:manualLayout>
                  <c:x val="-8.2633081993174595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4A-41E4-A66B-092FBC58545B}"/>
                </c:ext>
              </c:extLst>
            </c:dLbl>
            <c:dLbl>
              <c:idx val="5"/>
              <c:layout>
                <c:manualLayout>
                  <c:x val="-8.1704620397745634E-2"/>
                  <c:y val="-1.9097222222222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4A-41E4-A66B-092FBC58545B}"/>
                </c:ext>
              </c:extLst>
            </c:dLbl>
            <c:dLbl>
              <c:idx val="6"/>
              <c:layout>
                <c:manualLayout>
                  <c:x val="-8.2633081993174567E-2"/>
                  <c:y val="-1.9097222222222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4A-41E4-A66B-092FBC58545B}"/>
                </c:ext>
              </c:extLst>
            </c:dLbl>
            <c:dLbl>
              <c:idx val="7"/>
              <c:layout>
                <c:manualLayout>
                  <c:x val="-8.2633081993174567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4A-41E4-A66B-092FBC58545B}"/>
                </c:ext>
              </c:extLst>
            </c:dLbl>
            <c:dLbl>
              <c:idx val="8"/>
              <c:layout>
                <c:manualLayout>
                  <c:x val="-8.2633081993174706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4A-41E4-A66B-092FBC58545B}"/>
                </c:ext>
              </c:extLst>
            </c:dLbl>
            <c:dLbl>
              <c:idx val="9"/>
              <c:layout>
                <c:manualLayout>
                  <c:x val="-8.2633081993174567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4A-41E4-A66B-092FBC58545B}"/>
                </c:ext>
              </c:extLst>
            </c:dLbl>
            <c:dLbl>
              <c:idx val="10"/>
              <c:layout>
                <c:manualLayout>
                  <c:x val="-8.8203851565748129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4A-41E4-A66B-092FBC58545B}"/>
                </c:ext>
              </c:extLst>
            </c:dLbl>
            <c:dLbl>
              <c:idx val="11"/>
              <c:layout>
                <c:manualLayout>
                  <c:x val="-8.8203851565748129E-2"/>
                  <c:y val="-1.9097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4A-41E4-A66B-092FBC58545B}"/>
                </c:ext>
              </c:extLst>
            </c:dLbl>
            <c:dLbl>
              <c:idx val="12"/>
              <c:layout>
                <c:manualLayout>
                  <c:x val="-2.5890571370886333E-2"/>
                  <c:y val="-2.0574874086685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6A-43AF-88DA-AF3F75FCB2E2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'2023'!$B$4:$N$4</c:f>
              <c:numCache>
                <c:formatCode>General</c:formatCode>
                <c:ptCount val="13"/>
                <c:pt idx="1">
                  <c:v>750000</c:v>
                </c:pt>
                <c:pt idx="2">
                  <c:v>1550000</c:v>
                </c:pt>
                <c:pt idx="3">
                  <c:v>2740000</c:v>
                </c:pt>
                <c:pt idx="4">
                  <c:v>3930000</c:v>
                </c:pt>
                <c:pt idx="5">
                  <c:v>5120000</c:v>
                </c:pt>
                <c:pt idx="6">
                  <c:v>5920000</c:v>
                </c:pt>
                <c:pt idx="7">
                  <c:v>7110000</c:v>
                </c:pt>
                <c:pt idx="8">
                  <c:v>8300000</c:v>
                </c:pt>
                <c:pt idx="9">
                  <c:v>9490000</c:v>
                </c:pt>
                <c:pt idx="10">
                  <c:v>10680000</c:v>
                </c:pt>
                <c:pt idx="11">
                  <c:v>11870000</c:v>
                </c:pt>
                <c:pt idx="12">
                  <c:v>12620000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6A-43AF-88DA-AF3F75FCB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510728"/>
        <c:axId val="463511112"/>
      </c:lineChart>
      <c:catAx>
        <c:axId val="46351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0"/>
                  <a:lumOff val="50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11112"/>
        <c:crosses val="autoZero"/>
        <c:auto val="1"/>
        <c:lblAlgn val="ctr"/>
        <c:lblOffset val="100"/>
        <c:noMultiLvlLbl val="0"/>
      </c:catAx>
      <c:valAx>
        <c:axId val="463511112"/>
        <c:scaling>
          <c:orientation val="minMax"/>
          <c:max val="14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10728"/>
        <c:crosses val="autoZero"/>
        <c:crossBetween val="midCat"/>
        <c:majorUnit val="1000000"/>
      </c:val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309982930455361"/>
          <c:y val="0.4949878697595233"/>
          <c:w val="0.11010693243764108"/>
          <c:h val="0.24267219975881393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/>
              <a:t>Yearly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2018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YEARLY'!$B$7:$N$7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762199.29</c:v>
                </c:pt>
                <c:pt idx="2">
                  <c:v>1455236.38</c:v>
                </c:pt>
                <c:pt idx="3">
                  <c:v>2257458.2999999998</c:v>
                </c:pt>
                <c:pt idx="4">
                  <c:v>2873632.86</c:v>
                </c:pt>
                <c:pt idx="5">
                  <c:v>3672595.29</c:v>
                </c:pt>
                <c:pt idx="6">
                  <c:v>4488813</c:v>
                </c:pt>
                <c:pt idx="7">
                  <c:v>5302322.29</c:v>
                </c:pt>
                <c:pt idx="8">
                  <c:v>6154741.7199999997</c:v>
                </c:pt>
                <c:pt idx="9">
                  <c:v>6850908.21</c:v>
                </c:pt>
                <c:pt idx="10">
                  <c:v>7710664.3399999999</c:v>
                </c:pt>
                <c:pt idx="11">
                  <c:v>8400932.959999999</c:v>
                </c:pt>
                <c:pt idx="12">
                  <c:v>9045765.4499999993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E9-4FDC-A86F-5E7BC33EABE7}"/>
            </c:ext>
          </c:extLst>
        </c:ser>
        <c:ser>
          <c:idx val="3"/>
          <c:order val="1"/>
          <c:tx>
            <c:v>2019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YEARLY'!$B$6:$N$6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1177735.3799999999</c:v>
                </c:pt>
                <c:pt idx="2">
                  <c:v>1965703.8499999999</c:v>
                </c:pt>
                <c:pt idx="3">
                  <c:v>2821046.87</c:v>
                </c:pt>
                <c:pt idx="4">
                  <c:v>3714647.68</c:v>
                </c:pt>
                <c:pt idx="5">
                  <c:v>4573876.62</c:v>
                </c:pt>
                <c:pt idx="6">
                  <c:v>5308985.4800000004</c:v>
                </c:pt>
                <c:pt idx="7">
                  <c:v>5873775.6100000003</c:v>
                </c:pt>
                <c:pt idx="8">
                  <c:v>6915715.3300000001</c:v>
                </c:pt>
                <c:pt idx="9">
                  <c:v>7817058.5499999998</c:v>
                </c:pt>
                <c:pt idx="10">
                  <c:v>8650654.1799999997</c:v>
                </c:pt>
                <c:pt idx="11">
                  <c:v>9467523.8599999994</c:v>
                </c:pt>
                <c:pt idx="12">
                  <c:v>10090938.869999999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E9-4FDC-A86F-5E7BC33EABE7}"/>
            </c:ext>
          </c:extLst>
        </c:ser>
        <c:ser>
          <c:idx val="2"/>
          <c:order val="2"/>
          <c:tx>
            <c:v>2020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YEARLY'!$B$5:$N$5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706328.87</c:v>
                </c:pt>
                <c:pt idx="2">
                  <c:v>1526726.8</c:v>
                </c:pt>
                <c:pt idx="3">
                  <c:v>2722010.8200000003</c:v>
                </c:pt>
                <c:pt idx="4">
                  <c:v>4107415.0900000003</c:v>
                </c:pt>
                <c:pt idx="5">
                  <c:v>5785756.5</c:v>
                </c:pt>
                <c:pt idx="6">
                  <c:v>6885169.6699999999</c:v>
                </c:pt>
                <c:pt idx="7">
                  <c:v>7917466.6799999997</c:v>
                </c:pt>
                <c:pt idx="8">
                  <c:v>8717838.5199999996</c:v>
                </c:pt>
                <c:pt idx="9">
                  <c:v>9711868.3899999987</c:v>
                </c:pt>
                <c:pt idx="10">
                  <c:v>10943113.199999999</c:v>
                </c:pt>
                <c:pt idx="11">
                  <c:v>11813437.699999999</c:v>
                </c:pt>
                <c:pt idx="12">
                  <c:v>12373495.699999999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9-4FDC-A86F-5E7BC33EABE7}"/>
            </c:ext>
          </c:extLst>
        </c:ser>
        <c:ser>
          <c:idx val="1"/>
          <c:order val="3"/>
          <c:tx>
            <c:v>2021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YEARLY'!$B$4:$N$4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1247663.42</c:v>
                </c:pt>
                <c:pt idx="2">
                  <c:v>1903942.39</c:v>
                </c:pt>
                <c:pt idx="3">
                  <c:v>3036239.2199999997</c:v>
                </c:pt>
                <c:pt idx="4">
                  <c:v>3813161.3499999996</c:v>
                </c:pt>
                <c:pt idx="5">
                  <c:v>4518330.38</c:v>
                </c:pt>
                <c:pt idx="6">
                  <c:v>5245290.5199999996</c:v>
                </c:pt>
                <c:pt idx="7">
                  <c:v>5987391.0399999991</c:v>
                </c:pt>
                <c:pt idx="8">
                  <c:v>6843265.3499999996</c:v>
                </c:pt>
                <c:pt idx="9">
                  <c:v>7739962.7699999996</c:v>
                </c:pt>
                <c:pt idx="10">
                  <c:v>8475881.9100000001</c:v>
                </c:pt>
                <c:pt idx="11">
                  <c:v>9198198.6300000008</c:v>
                </c:pt>
                <c:pt idx="12">
                  <c:v>10189956.700000001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9-4FDC-A86F-5E7BC33EABE7}"/>
            </c:ext>
          </c:extLst>
        </c:ser>
        <c:ser>
          <c:idx val="0"/>
          <c:order val="4"/>
          <c:tx>
            <c:v>2022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YEARLY'!$B$3:$N$3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1037420.61</c:v>
                </c:pt>
                <c:pt idx="2">
                  <c:v>1811271.77</c:v>
                </c:pt>
                <c:pt idx="3">
                  <c:v>2781796.5260000001</c:v>
                </c:pt>
                <c:pt idx="4">
                  <c:v>3698798.696</c:v>
                </c:pt>
                <c:pt idx="5">
                  <c:v>5051560.3459999999</c:v>
                </c:pt>
                <c:pt idx="6">
                  <c:v>5847928.6359999999</c:v>
                </c:pt>
                <c:pt idx="7">
                  <c:v>6867308.4059999995</c:v>
                </c:pt>
                <c:pt idx="8">
                  <c:v>7840905.6359999999</c:v>
                </c:pt>
                <c:pt idx="9">
                  <c:v>8910614.8460000008</c:v>
                </c:pt>
                <c:pt idx="10">
                  <c:v>9478940.8260000013</c:v>
                </c:pt>
                <c:pt idx="11">
                  <c:v>10203898.496000001</c:v>
                </c:pt>
                <c:pt idx="12">
                  <c:v>10969800.626000002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9-4FDC-A86F-5E7BC33EABE7}"/>
            </c:ext>
          </c:extLst>
        </c:ser>
        <c:ser>
          <c:idx val="6"/>
          <c:order val="5"/>
          <c:tx>
            <c:v>2022 Projected</c:v>
          </c:tx>
          <c:spPr>
            <a:ln w="22225" cap="rnd">
              <a:solidFill>
                <a:schemeClr val="tx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lt1"/>
              </a:solidFill>
              <a:ln w="15875">
                <a:solidFill>
                  <a:schemeClr val="tx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YEARLY'!$B$9:$N$9</c:f>
              <c:numCache>
                <c:formatCode>General</c:formatCode>
                <c:ptCount val="13"/>
                <c:pt idx="11">
                  <c:v>10203898.5</c:v>
                </c:pt>
                <c:pt idx="12">
                  <c:v>10800000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5E-492F-9B44-EFA67E534217}"/>
            </c:ext>
          </c:extLst>
        </c:ser>
        <c:ser>
          <c:idx val="7"/>
          <c:order val="6"/>
          <c:tx>
            <c:v>2023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5875">
                <a:solidFill>
                  <a:srgbClr val="00B050"/>
                </a:solidFill>
                <a:round/>
              </a:ln>
              <a:effectLst/>
            </c:spPr>
          </c:marker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YEARLY'!$B$2:$N$2</c:f>
              <c:numCache>
                <c:formatCode>_(* #,##0.00_);_(* \(#,##0.00\);_(* "-"??_);_(@_)</c:formatCode>
                <c:ptCount val="13"/>
                <c:pt idx="0" formatCode="General">
                  <c:v>0</c:v>
                </c:pt>
                <c:pt idx="1">
                  <c:v>852827.79</c:v>
                </c:pt>
                <c:pt idx="2">
                  <c:v>1941736.86</c:v>
                </c:pt>
                <c:pt idx="3" formatCode="#,##0.00">
                  <c:v>2877487.69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C1-458E-93F7-A16D590A0A6C}"/>
            </c:ext>
          </c:extLst>
        </c:ser>
        <c:ser>
          <c:idx val="5"/>
          <c:order val="7"/>
          <c:tx>
            <c:v>Goal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15875">
                <a:solidFill>
                  <a:srgbClr val="00B050"/>
                </a:solidFill>
                <a:round/>
              </a:ln>
              <a:effectLst/>
            </c:spPr>
          </c:marker>
          <c:dPt>
            <c:idx val="12"/>
            <c:marker>
              <c:symbol val="circle"/>
              <c:size val="10"/>
              <c:spPr>
                <a:solidFill>
                  <a:srgbClr val="00B050"/>
                </a:solidFill>
                <a:ln w="15875">
                  <a:solidFill>
                    <a:srgbClr val="00B05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65E-492F-9B44-EFA67E534217}"/>
              </c:ext>
            </c:extLst>
          </c:dPt>
          <c:cat>
            <c:strRef>
              <c:f>'OLD YEARLY'!$B$1:$N$1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'OLD YEARLY'!$B$8:$N$8</c:f>
              <c:numCache>
                <c:formatCode>General</c:formatCode>
                <c:ptCount val="13"/>
                <c:pt idx="12">
                  <c:v>13000000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5E-492F-9B44-EFA67E534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697336"/>
        <c:axId val="367160536"/>
      </c:lineChart>
      <c:catAx>
        <c:axId val="46369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60536"/>
        <c:crosses val="autoZero"/>
        <c:auto val="1"/>
        <c:lblAlgn val="ctr"/>
        <c:lblOffset val="100"/>
        <c:noMultiLvlLbl val="0"/>
      </c:catAx>
      <c:valAx>
        <c:axId val="367160536"/>
        <c:scaling>
          <c:orientation val="minMax"/>
          <c:max val="1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97336"/>
        <c:crosses val="autoZero"/>
        <c:crossBetween val="midCat"/>
        <c:majorUnit val="10000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9039318179120788"/>
          <c:y val="6.0622233692378596E-2"/>
          <c:w val="0.41921355984635211"/>
          <c:h val="5.0488776092262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9527</xdr:rowOff>
    </xdr:from>
    <xdr:to>
      <xdr:col>15</xdr:col>
      <xdr:colOff>0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E5318-4371-41E4-93D9-3DCCD7935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9527</xdr:rowOff>
    </xdr:from>
    <xdr:to>
      <xdr:col>15</xdr:col>
      <xdr:colOff>0</xdr:colOff>
      <xdr:row>42</xdr:row>
      <xdr:rowOff>48492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0581F-F92E-4284-A284-CBFE55978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9527</xdr:rowOff>
    </xdr:from>
    <xdr:to>
      <xdr:col>14</xdr:col>
      <xdr:colOff>0</xdr:colOff>
      <xdr:row>38</xdr:row>
      <xdr:rowOff>48492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471BB-26CE-4D3C-B37B-DEB2EEFC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9526</xdr:rowOff>
    </xdr:from>
    <xdr:to>
      <xdr:col>14</xdr:col>
      <xdr:colOff>0</xdr:colOff>
      <xdr:row>43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AFCE7-7FE8-4FA1-912E-D4C2D9903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1037264</xdr:colOff>
      <xdr:row>9</xdr:row>
      <xdr:rowOff>179294</xdr:rowOff>
    </xdr:from>
    <xdr:to>
      <xdr:col>13</xdr:col>
      <xdr:colOff>22411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48524A-809C-9712-259C-4464F0B5B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A236-77C7-4543-9B44-3273C24367EB}">
  <dimension ref="B1:O53"/>
  <sheetViews>
    <sheetView tabSelected="1" topLeftCell="A4" zoomScaleNormal="100" workbookViewId="0">
      <selection activeCell="A9" sqref="A9"/>
    </sheetView>
  </sheetViews>
  <sheetFormatPr defaultColWidth="9.140625" defaultRowHeight="15" x14ac:dyDescent="0.25"/>
  <cols>
    <col min="1" max="15" width="14.7109375" style="7" customWidth="1"/>
    <col min="16" max="16384" width="9.140625" style="7"/>
  </cols>
  <sheetData>
    <row r="1" spans="2:15" x14ac:dyDescent="0.25"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</row>
    <row r="2" spans="2:15" x14ac:dyDescent="0.25">
      <c r="B2" s="18" t="s">
        <v>19</v>
      </c>
      <c r="C2" s="8">
        <v>0</v>
      </c>
      <c r="D2" s="8">
        <f>C2+D3</f>
        <v>955153.66999999981</v>
      </c>
      <c r="E2" s="8">
        <f>D2+E3</f>
        <v>1915665.2599999998</v>
      </c>
      <c r="F2" s="8">
        <f>E2+F3</f>
        <v>3150003.0699999994</v>
      </c>
      <c r="G2" s="8">
        <f t="shared" ref="G2:J2" si="0">F2+G3</f>
        <v>4513201.0699999994</v>
      </c>
      <c r="H2" s="8">
        <f t="shared" si="0"/>
        <v>4513201.0699999994</v>
      </c>
      <c r="I2" s="8">
        <f t="shared" si="0"/>
        <v>4513201.0699999994</v>
      </c>
      <c r="J2" s="8">
        <f t="shared" si="0"/>
        <v>4513201.0699999994</v>
      </c>
      <c r="K2" s="8">
        <f>J2+K3</f>
        <v>4513201.0699999994</v>
      </c>
      <c r="L2" s="8">
        <f>K2+L3</f>
        <v>4513201.0699999994</v>
      </c>
      <c r="M2" s="8">
        <f>L2+M3</f>
        <v>4513201.0699999994</v>
      </c>
      <c r="N2" s="8">
        <f>M2+N3</f>
        <v>4513201.0699999994</v>
      </c>
      <c r="O2" s="8">
        <f>N2+O3</f>
        <v>4513201.0699999994</v>
      </c>
    </row>
    <row r="3" spans="2:15" x14ac:dyDescent="0.25">
      <c r="B3" s="18"/>
      <c r="C3" s="10"/>
      <c r="D3" s="10">
        <v>955153.66999999981</v>
      </c>
      <c r="E3" s="10">
        <v>960511.59</v>
      </c>
      <c r="F3" s="10">
        <v>1234337.8099999998</v>
      </c>
      <c r="G3" s="10">
        <v>1363198</v>
      </c>
      <c r="H3" s="10"/>
      <c r="I3" s="10"/>
      <c r="J3" s="10"/>
      <c r="K3" s="10"/>
      <c r="L3" s="10"/>
      <c r="M3" s="10"/>
      <c r="N3" s="10"/>
      <c r="O3" s="10"/>
    </row>
    <row r="4" spans="2:15" x14ac:dyDescent="0.25">
      <c r="B4" s="20" t="s">
        <v>20</v>
      </c>
      <c r="C4" s="12">
        <v>0</v>
      </c>
      <c r="D4" s="12">
        <f>C4+D5</f>
        <v>985408.35</v>
      </c>
      <c r="E4" s="12">
        <f>D4+E5</f>
        <v>1994243.4400000002</v>
      </c>
      <c r="F4" s="12">
        <f>E4+F5</f>
        <v>3128554.99</v>
      </c>
      <c r="G4" s="12">
        <f t="shared" ref="G4:K4" si="1">F4+G5</f>
        <v>4408709.8000000007</v>
      </c>
      <c r="H4" s="12">
        <f t="shared" si="1"/>
        <v>4408709.8000000007</v>
      </c>
      <c r="I4" s="12">
        <f t="shared" si="1"/>
        <v>4408709.8000000007</v>
      </c>
      <c r="J4" s="12">
        <f t="shared" si="1"/>
        <v>4408709.8000000007</v>
      </c>
      <c r="K4" s="12">
        <f t="shared" si="1"/>
        <v>4408709.8000000007</v>
      </c>
      <c r="L4" s="12">
        <f>K4+L5</f>
        <v>4408709.8000000007</v>
      </c>
      <c r="M4" s="12">
        <f>L4+M5</f>
        <v>4408709.8000000007</v>
      </c>
      <c r="N4" s="12">
        <f>M4+N5</f>
        <v>4408709.8000000007</v>
      </c>
      <c r="O4" s="12">
        <f>N4+O5</f>
        <v>4408709.8000000007</v>
      </c>
    </row>
    <row r="5" spans="2:15" x14ac:dyDescent="0.25">
      <c r="B5" s="20"/>
      <c r="C5" s="21"/>
      <c r="D5" s="21">
        <v>985408.35</v>
      </c>
      <c r="E5" s="21">
        <v>1008835.0900000002</v>
      </c>
      <c r="F5" s="21">
        <v>1134311.55</v>
      </c>
      <c r="G5" s="21">
        <v>1280154.81</v>
      </c>
      <c r="H5" s="21"/>
      <c r="I5" s="21"/>
      <c r="J5" s="21"/>
      <c r="K5" s="21"/>
      <c r="L5" s="21"/>
      <c r="M5" s="21"/>
      <c r="N5" s="21"/>
      <c r="O5" s="21"/>
    </row>
    <row r="6" spans="2:15" x14ac:dyDescent="0.25">
      <c r="B6" s="19" t="s">
        <v>21</v>
      </c>
      <c r="C6" s="13">
        <v>0</v>
      </c>
      <c r="D6" s="13">
        <f>C6+D7</f>
        <v>973389</v>
      </c>
      <c r="E6" s="13">
        <f t="shared" ref="E6:O6" si="2">D6+E7</f>
        <v>1956831</v>
      </c>
      <c r="F6" s="13">
        <f t="shared" si="2"/>
        <v>3103150</v>
      </c>
      <c r="G6" s="13">
        <f t="shared" si="2"/>
        <v>4390227</v>
      </c>
      <c r="H6" s="13">
        <f t="shared" si="2"/>
        <v>5677304</v>
      </c>
      <c r="I6" s="13">
        <f t="shared" si="2"/>
        <v>6954321</v>
      </c>
      <c r="J6" s="13">
        <f t="shared" si="2"/>
        <v>8211233</v>
      </c>
      <c r="K6" s="13">
        <f t="shared" si="2"/>
        <v>9357552</v>
      </c>
      <c r="L6" s="13">
        <f t="shared" si="2"/>
        <v>10584299</v>
      </c>
      <c r="M6" s="13">
        <f t="shared" si="2"/>
        <v>11811046</v>
      </c>
      <c r="N6" s="13">
        <f t="shared" si="2"/>
        <v>12977072</v>
      </c>
      <c r="O6" s="13">
        <f t="shared" si="2"/>
        <v>13981626</v>
      </c>
    </row>
    <row r="7" spans="2:15" x14ac:dyDescent="0.25">
      <c r="B7" s="19"/>
      <c r="C7" s="14"/>
      <c r="D7" s="14">
        <v>973389</v>
      </c>
      <c r="E7" s="14">
        <v>983442</v>
      </c>
      <c r="F7" s="14">
        <v>1146319</v>
      </c>
      <c r="G7" s="14">
        <v>1287077</v>
      </c>
      <c r="H7" s="14">
        <v>1287077</v>
      </c>
      <c r="I7" s="14">
        <v>1277017</v>
      </c>
      <c r="J7" s="14">
        <v>1256912</v>
      </c>
      <c r="K7" s="14">
        <v>1146319</v>
      </c>
      <c r="L7" s="14">
        <v>1226747</v>
      </c>
      <c r="M7" s="14">
        <v>1226747</v>
      </c>
      <c r="N7" s="14">
        <v>1166026</v>
      </c>
      <c r="O7" s="14">
        <v>1004554</v>
      </c>
    </row>
    <row r="44" spans="2:15" x14ac:dyDescent="0.25">
      <c r="D44" s="7" t="s">
        <v>0</v>
      </c>
      <c r="E44" s="7" t="s">
        <v>1</v>
      </c>
      <c r="F44" s="7" t="s">
        <v>2</v>
      </c>
      <c r="G44" s="7" t="s">
        <v>12</v>
      </c>
      <c r="H44" s="7" t="s">
        <v>4</v>
      </c>
      <c r="I44" s="7" t="s">
        <v>5</v>
      </c>
      <c r="J44" s="7" t="s">
        <v>6</v>
      </c>
      <c r="K44" s="7" t="s">
        <v>7</v>
      </c>
      <c r="L44" s="7" t="s">
        <v>8</v>
      </c>
      <c r="M44" s="7" t="s">
        <v>9</v>
      </c>
      <c r="N44" s="7" t="s">
        <v>10</v>
      </c>
      <c r="O44" s="7" t="s">
        <v>11</v>
      </c>
    </row>
    <row r="45" spans="2:15" x14ac:dyDescent="0.25">
      <c r="B45" s="16" t="s">
        <v>17</v>
      </c>
      <c r="C45" s="16">
        <v>0</v>
      </c>
      <c r="D45" s="15">
        <v>844942.9600000002</v>
      </c>
      <c r="E45" s="16">
        <v>992578.01</v>
      </c>
      <c r="F45" s="16">
        <v>755367.04</v>
      </c>
      <c r="G45" s="16">
        <v>1069724.7099999997</v>
      </c>
      <c r="H45" s="16">
        <v>891714.06999999983</v>
      </c>
      <c r="I45" s="16">
        <v>1147584.94</v>
      </c>
      <c r="J45" s="16">
        <v>1015956.7099999998</v>
      </c>
      <c r="K45" s="16">
        <v>1033703.9100000003</v>
      </c>
      <c r="L45" s="16">
        <v>960939.77</v>
      </c>
      <c r="M45" s="16">
        <v>1139232.28</v>
      </c>
      <c r="N45" s="16">
        <v>1387232.7599999995</v>
      </c>
      <c r="O45" s="16">
        <v>1218408.8299999998</v>
      </c>
    </row>
    <row r="46" spans="2:15" x14ac:dyDescent="0.25">
      <c r="B46" s="8" t="s">
        <v>22</v>
      </c>
      <c r="C46" s="8">
        <v>0</v>
      </c>
      <c r="D46" s="8">
        <f t="shared" ref="D46:O46" si="3">IF(ISBLANK(D3), "", D3)</f>
        <v>955153.66999999981</v>
      </c>
      <c r="E46" s="8">
        <f t="shared" si="3"/>
        <v>960511.59</v>
      </c>
      <c r="F46" s="8">
        <f t="shared" si="3"/>
        <v>1234337.8099999998</v>
      </c>
      <c r="G46" s="8">
        <f t="shared" si="3"/>
        <v>1363198</v>
      </c>
      <c r="H46" s="8" t="str">
        <f t="shared" si="3"/>
        <v/>
      </c>
      <c r="I46" s="8" t="str">
        <f t="shared" si="3"/>
        <v/>
      </c>
      <c r="J46" s="8" t="str">
        <f t="shared" si="3"/>
        <v/>
      </c>
      <c r="K46" s="8" t="str">
        <f t="shared" si="3"/>
        <v/>
      </c>
      <c r="L46" s="8" t="str">
        <f t="shared" si="3"/>
        <v/>
      </c>
      <c r="M46" s="8" t="str">
        <f t="shared" si="3"/>
        <v/>
      </c>
      <c r="N46" s="8" t="str">
        <f t="shared" si="3"/>
        <v/>
      </c>
      <c r="O46" s="8" t="str">
        <f t="shared" si="3"/>
        <v/>
      </c>
    </row>
    <row r="47" spans="2:15" x14ac:dyDescent="0.25">
      <c r="B47" s="17" t="s">
        <v>18</v>
      </c>
      <c r="C47" s="17">
        <v>0</v>
      </c>
      <c r="D47" s="17">
        <v>881453.75999999989</v>
      </c>
      <c r="E47" s="17">
        <v>734697.66</v>
      </c>
      <c r="F47" s="17">
        <v>780683.81</v>
      </c>
      <c r="G47" s="17">
        <v>942485.29</v>
      </c>
      <c r="H47" s="17">
        <v>924715.83000000007</v>
      </c>
      <c r="I47" s="17">
        <v>1054174.9100000001</v>
      </c>
      <c r="J47" s="17">
        <v>1023904.2600000001</v>
      </c>
      <c r="K47" s="17">
        <v>1010126.41</v>
      </c>
      <c r="L47" s="17">
        <v>1063610.6299999999</v>
      </c>
      <c r="M47" s="17">
        <v>1024897.2599999999</v>
      </c>
      <c r="N47" s="17">
        <v>1099864.56</v>
      </c>
      <c r="O47" s="17">
        <v>1014224.02</v>
      </c>
    </row>
    <row r="48" spans="2:15" x14ac:dyDescent="0.25">
      <c r="B48" s="12" t="s">
        <v>23</v>
      </c>
      <c r="C48" s="12">
        <v>0</v>
      </c>
      <c r="D48" s="12">
        <f t="shared" ref="D48:O48" si="4">IF(ISBLANK(D5), "", D5)</f>
        <v>985408.35</v>
      </c>
      <c r="E48" s="12">
        <f t="shared" si="4"/>
        <v>1008835.0900000002</v>
      </c>
      <c r="F48" s="12">
        <f t="shared" si="4"/>
        <v>1134311.55</v>
      </c>
      <c r="G48" s="12">
        <f t="shared" si="4"/>
        <v>1280154.81</v>
      </c>
      <c r="H48" s="12" t="str">
        <f t="shared" si="4"/>
        <v/>
      </c>
      <c r="I48" s="12" t="str">
        <f t="shared" si="4"/>
        <v/>
      </c>
      <c r="J48" s="12" t="str">
        <f t="shared" si="4"/>
        <v/>
      </c>
      <c r="K48" s="12" t="str">
        <f t="shared" si="4"/>
        <v/>
      </c>
      <c r="L48" s="12" t="str">
        <f t="shared" si="4"/>
        <v/>
      </c>
      <c r="M48" s="12" t="str">
        <f t="shared" si="4"/>
        <v/>
      </c>
      <c r="N48" s="12" t="str">
        <f t="shared" si="4"/>
        <v/>
      </c>
      <c r="O48" s="12" t="str">
        <f t="shared" si="4"/>
        <v/>
      </c>
    </row>
    <row r="51" spans="2:10" s="9" customFormat="1" x14ac:dyDescent="0.25"/>
    <row r="52" spans="2:10" s="9" customFormat="1" x14ac:dyDescent="0.25"/>
    <row r="53" spans="2:10" x14ac:dyDescent="0.25">
      <c r="B53" s="1"/>
      <c r="D53" s="1"/>
      <c r="E53" s="1"/>
      <c r="F53" s="1"/>
      <c r="G53" s="1"/>
      <c r="H53" s="1"/>
      <c r="I53" s="1"/>
      <c r="J53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3"/>
  <sheetViews>
    <sheetView topLeftCell="A7" zoomScaleNormal="100" workbookViewId="0">
      <selection activeCell="P18" sqref="P18"/>
    </sheetView>
  </sheetViews>
  <sheetFormatPr defaultColWidth="9.140625" defaultRowHeight="15" x14ac:dyDescent="0.25"/>
  <cols>
    <col min="1" max="15" width="15.7109375" style="7" customWidth="1"/>
    <col min="16" max="16384" width="9.140625" style="7"/>
  </cols>
  <sheetData>
    <row r="1" spans="2:15" x14ac:dyDescent="0.25"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</row>
    <row r="2" spans="2:15" x14ac:dyDescent="0.25">
      <c r="B2" s="18" t="s">
        <v>19</v>
      </c>
      <c r="C2" s="8">
        <v>0</v>
      </c>
      <c r="D2" s="8">
        <f>C2+D3</f>
        <v>1445682.8499999999</v>
      </c>
      <c r="E2" s="8">
        <f>D2+E3</f>
        <v>2637558.88</v>
      </c>
      <c r="F2" s="8">
        <f>E2+F3</f>
        <v>3812147.03</v>
      </c>
      <c r="G2" s="8">
        <f t="shared" ref="G2:J2" si="0">F2+G3</f>
        <v>5027855.3099999996</v>
      </c>
      <c r="H2" s="8">
        <f t="shared" si="0"/>
        <v>6264607.5899999999</v>
      </c>
      <c r="I2" s="8">
        <f t="shared" si="0"/>
        <v>7193093.0299999993</v>
      </c>
      <c r="J2" s="8">
        <f t="shared" si="0"/>
        <v>8392742.6699999999</v>
      </c>
      <c r="K2" s="8">
        <f>J2+K3</f>
        <v>9415927.4000000004</v>
      </c>
      <c r="L2" s="8">
        <f>K2+L3</f>
        <v>10465391.08</v>
      </c>
      <c r="M2" s="8">
        <f>L2+M3</f>
        <v>11560727.800000001</v>
      </c>
      <c r="N2" s="8">
        <f>M2+N3</f>
        <v>12601603.370000001</v>
      </c>
      <c r="O2" s="8">
        <f>N2+O3</f>
        <v>13450969.260000002</v>
      </c>
    </row>
    <row r="3" spans="2:15" x14ac:dyDescent="0.25">
      <c r="B3" s="18"/>
      <c r="C3" s="10"/>
      <c r="D3" s="10">
        <v>1445682.8499999999</v>
      </c>
      <c r="E3" s="10">
        <v>1191876.03</v>
      </c>
      <c r="F3" s="10">
        <v>1174588.1499999999</v>
      </c>
      <c r="G3" s="10">
        <v>1215708.28</v>
      </c>
      <c r="H3" s="10">
        <v>1236752.28</v>
      </c>
      <c r="I3" s="10">
        <v>928485.44</v>
      </c>
      <c r="J3" s="10">
        <v>1199649.6399999999</v>
      </c>
      <c r="K3" s="10">
        <v>1023184.73</v>
      </c>
      <c r="L3" s="10">
        <v>1049463.6800000002</v>
      </c>
      <c r="M3" s="10">
        <v>1095336.7200000002</v>
      </c>
      <c r="N3" s="10">
        <v>1040875.5700000001</v>
      </c>
      <c r="O3" s="10">
        <v>849365.89000000025</v>
      </c>
    </row>
    <row r="4" spans="2:15" x14ac:dyDescent="0.25">
      <c r="B4" s="20" t="s">
        <v>20</v>
      </c>
      <c r="C4" s="12">
        <v>0</v>
      </c>
      <c r="D4" s="12">
        <f>C4+D5</f>
        <v>982336.6100000001</v>
      </c>
      <c r="E4" s="12">
        <f>D4+E5</f>
        <v>2046950.78</v>
      </c>
      <c r="F4" s="12">
        <f>E4+F5</f>
        <v>3034854.7199999997</v>
      </c>
      <c r="G4" s="12">
        <f t="shared" ref="G4:K4" si="1">F4+G5</f>
        <v>4232393.58</v>
      </c>
      <c r="H4" s="12">
        <f t="shared" si="1"/>
        <v>5434977.1900000004</v>
      </c>
      <c r="I4" s="12">
        <f t="shared" si="1"/>
        <v>6698704.6699999999</v>
      </c>
      <c r="J4" s="12">
        <f t="shared" si="1"/>
        <v>7850816.5199999996</v>
      </c>
      <c r="K4" s="12">
        <f t="shared" si="1"/>
        <v>9089745.25</v>
      </c>
      <c r="L4" s="12">
        <f>K4+L5</f>
        <v>10291431.67</v>
      </c>
      <c r="M4" s="12">
        <f>L4+M5</f>
        <v>11508958.550000001</v>
      </c>
      <c r="N4" s="12">
        <f>M4+N5</f>
        <v>12684247.350000001</v>
      </c>
      <c r="O4" s="12">
        <f>N4+O5</f>
        <v>13631976.170000002</v>
      </c>
    </row>
    <row r="5" spans="2:15" x14ac:dyDescent="0.25">
      <c r="B5" s="20"/>
      <c r="C5" s="21"/>
      <c r="D5" s="21">
        <v>982336.6100000001</v>
      </c>
      <c r="E5" s="21">
        <v>1064614.17</v>
      </c>
      <c r="F5" s="21">
        <v>987903.93999999983</v>
      </c>
      <c r="G5" s="21">
        <v>1197538.8600000001</v>
      </c>
      <c r="H5" s="21">
        <v>1202583.6100000001</v>
      </c>
      <c r="I5" s="21">
        <v>1263727.48</v>
      </c>
      <c r="J5" s="21">
        <v>1152111.8499999999</v>
      </c>
      <c r="K5" s="21">
        <v>1238928.7300000002</v>
      </c>
      <c r="L5" s="21">
        <v>1201686.42</v>
      </c>
      <c r="M5" s="21">
        <v>1217526.8800000004</v>
      </c>
      <c r="N5" s="21">
        <v>1175288.8</v>
      </c>
      <c r="O5" s="21">
        <v>947728.82</v>
      </c>
    </row>
    <row r="6" spans="2:15" x14ac:dyDescent="0.25">
      <c r="B6" s="19" t="s">
        <v>21</v>
      </c>
      <c r="C6" s="13">
        <v>0</v>
      </c>
      <c r="D6" s="13">
        <f>C6+D7</f>
        <v>920940</v>
      </c>
      <c r="E6" s="13">
        <f t="shared" ref="E6:O6" si="2">D6+E7</f>
        <v>1866564</v>
      </c>
      <c r="F6" s="13">
        <f t="shared" si="2"/>
        <v>2834504</v>
      </c>
      <c r="G6" s="13">
        <f t="shared" si="2"/>
        <v>3978082</v>
      </c>
      <c r="H6" s="13">
        <f t="shared" si="2"/>
        <v>5071660</v>
      </c>
      <c r="I6" s="13">
        <f t="shared" si="2"/>
        <v>6165238</v>
      </c>
      <c r="J6" s="13">
        <f t="shared" si="2"/>
        <v>7225907</v>
      </c>
      <c r="K6" s="13">
        <f t="shared" si="2"/>
        <v>8356942</v>
      </c>
      <c r="L6" s="13">
        <f t="shared" si="2"/>
        <v>9487977</v>
      </c>
      <c r="M6" s="13">
        <f t="shared" si="2"/>
        <v>10603331</v>
      </c>
      <c r="N6" s="13">
        <f t="shared" si="2"/>
        <v>11718685</v>
      </c>
      <c r="O6" s="13">
        <f t="shared" si="2"/>
        <v>12699999</v>
      </c>
    </row>
    <row r="7" spans="2:15" x14ac:dyDescent="0.25">
      <c r="B7" s="19"/>
      <c r="C7" s="14"/>
      <c r="D7" s="14">
        <v>920940</v>
      </c>
      <c r="E7" s="14">
        <v>945624</v>
      </c>
      <c r="F7" s="14">
        <v>967940</v>
      </c>
      <c r="G7" s="14">
        <v>1143578</v>
      </c>
      <c r="H7" s="14">
        <v>1093578</v>
      </c>
      <c r="I7" s="14">
        <v>1093578</v>
      </c>
      <c r="J7" s="14">
        <v>1060669</v>
      </c>
      <c r="K7" s="14">
        <v>1131035</v>
      </c>
      <c r="L7" s="14">
        <v>1131035</v>
      </c>
      <c r="M7" s="14">
        <v>1115354</v>
      </c>
      <c r="N7" s="14">
        <v>1115354</v>
      </c>
      <c r="O7" s="14">
        <v>981314</v>
      </c>
    </row>
    <row r="44" spans="2:15" x14ac:dyDescent="0.25">
      <c r="D44" s="7" t="s">
        <v>0</v>
      </c>
      <c r="E44" s="7" t="s">
        <v>1</v>
      </c>
      <c r="F44" s="7" t="s">
        <v>2</v>
      </c>
      <c r="G44" s="7" t="s">
        <v>12</v>
      </c>
      <c r="H44" s="7" t="s">
        <v>4</v>
      </c>
      <c r="I44" s="7" t="s">
        <v>5</v>
      </c>
      <c r="J44" s="7" t="s">
        <v>6</v>
      </c>
      <c r="K44" s="7" t="s">
        <v>7</v>
      </c>
      <c r="L44" s="7" t="s">
        <v>8</v>
      </c>
      <c r="M44" s="7" t="s">
        <v>9</v>
      </c>
      <c r="N44" s="7" t="s">
        <v>10</v>
      </c>
      <c r="O44" s="7" t="s">
        <v>11</v>
      </c>
    </row>
    <row r="45" spans="2:15" x14ac:dyDescent="0.25">
      <c r="B45" s="16" t="s">
        <v>14</v>
      </c>
      <c r="C45" s="16">
        <v>0</v>
      </c>
      <c r="D45" s="15">
        <v>844942.9600000002</v>
      </c>
      <c r="E45" s="16">
        <v>992578.01</v>
      </c>
      <c r="F45" s="16">
        <v>755367.04</v>
      </c>
      <c r="G45" s="16">
        <v>1069724.7099999997</v>
      </c>
      <c r="H45" s="16">
        <v>891714.06999999983</v>
      </c>
      <c r="I45" s="16">
        <v>1147584.94</v>
      </c>
      <c r="J45" s="16">
        <v>1015956.7099999998</v>
      </c>
      <c r="K45" s="16">
        <v>1033703.9100000003</v>
      </c>
      <c r="L45" s="16">
        <v>960939.77</v>
      </c>
      <c r="M45" s="16">
        <v>1139232.28</v>
      </c>
      <c r="N45" s="16">
        <v>1387232.7599999995</v>
      </c>
      <c r="O45" s="16">
        <v>1218408.8299999998</v>
      </c>
    </row>
    <row r="46" spans="2:15" x14ac:dyDescent="0.25">
      <c r="B46" s="8" t="s">
        <v>17</v>
      </c>
      <c r="C46" s="8">
        <v>0</v>
      </c>
      <c r="D46" s="8">
        <f t="shared" ref="D46:O46" si="3">IF(ISBLANK(D3), "", D3)</f>
        <v>1445682.8499999999</v>
      </c>
      <c r="E46" s="8">
        <f t="shared" si="3"/>
        <v>1191876.03</v>
      </c>
      <c r="F46" s="8">
        <f t="shared" si="3"/>
        <v>1174588.1499999999</v>
      </c>
      <c r="G46" s="8">
        <f t="shared" si="3"/>
        <v>1215708.28</v>
      </c>
      <c r="H46" s="8">
        <f t="shared" si="3"/>
        <v>1236752.28</v>
      </c>
      <c r="I46" s="8">
        <f t="shared" si="3"/>
        <v>928485.44</v>
      </c>
      <c r="J46" s="8">
        <f t="shared" si="3"/>
        <v>1199649.6399999999</v>
      </c>
      <c r="K46" s="8">
        <f t="shared" si="3"/>
        <v>1023184.73</v>
      </c>
      <c r="L46" s="8">
        <f t="shared" si="3"/>
        <v>1049463.6800000002</v>
      </c>
      <c r="M46" s="8">
        <f t="shared" si="3"/>
        <v>1095336.7200000002</v>
      </c>
      <c r="N46" s="8">
        <f t="shared" si="3"/>
        <v>1040875.5700000001</v>
      </c>
      <c r="O46" s="8">
        <f t="shared" si="3"/>
        <v>849365.89000000025</v>
      </c>
    </row>
    <row r="47" spans="2:15" x14ac:dyDescent="0.25">
      <c r="B47" s="17" t="s">
        <v>16</v>
      </c>
      <c r="C47" s="17">
        <v>0</v>
      </c>
      <c r="D47" s="17">
        <v>881453.75999999989</v>
      </c>
      <c r="E47" s="17">
        <v>734697.66</v>
      </c>
      <c r="F47" s="17">
        <v>780683.81</v>
      </c>
      <c r="G47" s="17">
        <v>942485.29</v>
      </c>
      <c r="H47" s="17">
        <v>924715.83000000007</v>
      </c>
      <c r="I47" s="17">
        <v>1054174.9100000001</v>
      </c>
      <c r="J47" s="17">
        <v>1023904.2600000001</v>
      </c>
      <c r="K47" s="17">
        <v>1010126.41</v>
      </c>
      <c r="L47" s="17">
        <v>1063610.6299999999</v>
      </c>
      <c r="M47" s="17">
        <v>1024897.2599999999</v>
      </c>
      <c r="N47" s="17">
        <v>1099864.56</v>
      </c>
      <c r="O47" s="17">
        <v>1014224.02</v>
      </c>
    </row>
    <row r="48" spans="2:15" x14ac:dyDescent="0.25">
      <c r="B48" s="12" t="s">
        <v>18</v>
      </c>
      <c r="C48" s="12">
        <v>0</v>
      </c>
      <c r="D48" s="12">
        <f t="shared" ref="D48:O48" si="4">IF(ISBLANK(D5), "", D5)</f>
        <v>982336.6100000001</v>
      </c>
      <c r="E48" s="12">
        <f t="shared" si="4"/>
        <v>1064614.17</v>
      </c>
      <c r="F48" s="12">
        <f t="shared" si="4"/>
        <v>987903.93999999983</v>
      </c>
      <c r="G48" s="12">
        <f t="shared" si="4"/>
        <v>1197538.8600000001</v>
      </c>
      <c r="H48" s="12">
        <f t="shared" si="4"/>
        <v>1202583.6100000001</v>
      </c>
      <c r="I48" s="12">
        <f t="shared" si="4"/>
        <v>1263727.48</v>
      </c>
      <c r="J48" s="12">
        <f t="shared" si="4"/>
        <v>1152111.8499999999</v>
      </c>
      <c r="K48" s="12">
        <f t="shared" si="4"/>
        <v>1238928.7300000002</v>
      </c>
      <c r="L48" s="12">
        <f t="shared" si="4"/>
        <v>1201686.42</v>
      </c>
      <c r="M48" s="12">
        <f t="shared" si="4"/>
        <v>1217526.8800000004</v>
      </c>
      <c r="N48" s="12">
        <f t="shared" si="4"/>
        <v>1175288.8</v>
      </c>
      <c r="O48" s="12">
        <f t="shared" si="4"/>
        <v>947728.82</v>
      </c>
    </row>
    <row r="51" spans="2:10" s="9" customFormat="1" x14ac:dyDescent="0.25"/>
    <row r="52" spans="2:10" s="9" customFormat="1" x14ac:dyDescent="0.25"/>
    <row r="53" spans="2:10" x14ac:dyDescent="0.25">
      <c r="B53" s="1"/>
      <c r="D53" s="1"/>
      <c r="E53" s="1"/>
      <c r="F53" s="1"/>
      <c r="G53" s="1"/>
      <c r="H53" s="1"/>
      <c r="I53" s="1"/>
      <c r="J53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49"/>
  <sheetViews>
    <sheetView topLeftCell="A5" zoomScaleNormal="100" workbookViewId="0">
      <selection activeCell="M49" sqref="M49"/>
    </sheetView>
  </sheetViews>
  <sheetFormatPr defaultColWidth="9.140625" defaultRowHeight="15" x14ac:dyDescent="0.25"/>
  <cols>
    <col min="1" max="14" width="15.7109375" style="7" customWidth="1"/>
    <col min="15" max="16384" width="9.140625" style="7"/>
  </cols>
  <sheetData>
    <row r="1" spans="2:14" x14ac:dyDescent="0.25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</row>
    <row r="2" spans="2:14" x14ac:dyDescent="0.25">
      <c r="B2" s="8">
        <v>0</v>
      </c>
      <c r="C2" s="8">
        <f>B2+C3</f>
        <v>844942.9600000002</v>
      </c>
      <c r="D2" s="8">
        <f>C2+D3</f>
        <v>1837520.9700000002</v>
      </c>
      <c r="E2" s="8">
        <f>D2+E3</f>
        <v>2592888.0100000002</v>
      </c>
      <c r="F2" s="8">
        <f t="shared" ref="F2" si="0">E2+F3</f>
        <v>3662612.7199999997</v>
      </c>
      <c r="G2" s="8">
        <f t="shared" ref="G2" si="1">F2+G3</f>
        <v>4554326.7899999991</v>
      </c>
      <c r="H2" s="8">
        <f t="shared" ref="H2" si="2">G2+H3</f>
        <v>5701911.7299999986</v>
      </c>
      <c r="I2" s="8">
        <f t="shared" ref="I2" si="3">H2+I3</f>
        <v>6717868.4399999985</v>
      </c>
      <c r="J2" s="8">
        <f>I2+J3</f>
        <v>7751572.3499999987</v>
      </c>
      <c r="K2" s="8">
        <f>J2+K3</f>
        <v>8712512.1199999992</v>
      </c>
      <c r="L2" s="8">
        <f>K2+L3</f>
        <v>9851744.3999999985</v>
      </c>
      <c r="M2" s="8">
        <f>L2+M3</f>
        <v>11238977.159999998</v>
      </c>
      <c r="N2" s="8">
        <f>M2+N3</f>
        <v>12457385.989999998</v>
      </c>
    </row>
    <row r="3" spans="2:14" x14ac:dyDescent="0.25">
      <c r="B3" s="9"/>
      <c r="C3" s="10">
        <v>844942.9600000002</v>
      </c>
      <c r="D3" s="10">
        <v>992578.01</v>
      </c>
      <c r="E3" s="10">
        <v>755367.04</v>
      </c>
      <c r="F3" s="10">
        <v>1069724.7099999997</v>
      </c>
      <c r="G3" s="10">
        <v>891714.06999999983</v>
      </c>
      <c r="H3" s="10">
        <v>1147584.94</v>
      </c>
      <c r="I3" s="10">
        <v>1015956.7099999998</v>
      </c>
      <c r="J3" s="10">
        <v>1033703.9100000003</v>
      </c>
      <c r="K3" s="10">
        <v>960939.77</v>
      </c>
      <c r="L3" s="10">
        <v>1139232.28</v>
      </c>
      <c r="M3" s="10">
        <v>1387232.7599999995</v>
      </c>
      <c r="N3" s="10">
        <v>1218408.8299999998</v>
      </c>
    </row>
    <row r="4" spans="2:14" x14ac:dyDescent="0.25">
      <c r="B4" s="11">
        <v>0</v>
      </c>
      <c r="C4" s="11">
        <f>B4+C5</f>
        <v>881453.75999999989</v>
      </c>
      <c r="D4" s="11">
        <f>C4+D5</f>
        <v>1616151.42</v>
      </c>
      <c r="E4" s="11">
        <f>D4+E5</f>
        <v>2396835.23</v>
      </c>
      <c r="F4" s="11">
        <f t="shared" ref="F4:J4" si="4">E4+F5</f>
        <v>3339320.52</v>
      </c>
      <c r="G4" s="11">
        <f t="shared" si="4"/>
        <v>4264036.3499999996</v>
      </c>
      <c r="H4" s="11">
        <f t="shared" si="4"/>
        <v>5318211.26</v>
      </c>
      <c r="I4" s="11">
        <f t="shared" si="4"/>
        <v>6342115.5199999996</v>
      </c>
      <c r="J4" s="11">
        <f t="shared" si="4"/>
        <v>7352241.9299999997</v>
      </c>
      <c r="K4" s="11">
        <f>J4+K5</f>
        <v>8415852.5599999987</v>
      </c>
      <c r="L4" s="11">
        <f>K4+L5</f>
        <v>9440749.8199999984</v>
      </c>
      <c r="M4" s="11">
        <f>L4+M5</f>
        <v>10540614.379999999</v>
      </c>
      <c r="N4" s="11">
        <f>M4+N5</f>
        <v>11554838.399999999</v>
      </c>
    </row>
    <row r="5" spans="2:14" x14ac:dyDescent="0.25">
      <c r="B5" s="9"/>
      <c r="C5" s="12">
        <v>881453.75999999989</v>
      </c>
      <c r="D5" s="12">
        <v>734697.66</v>
      </c>
      <c r="E5" s="12">
        <v>780683.81</v>
      </c>
      <c r="F5" s="12">
        <v>942485.29</v>
      </c>
      <c r="G5" s="12">
        <v>924715.83000000007</v>
      </c>
      <c r="H5" s="12">
        <v>1054174.9100000001</v>
      </c>
      <c r="I5" s="12">
        <v>1023904.2600000001</v>
      </c>
      <c r="J5" s="12">
        <v>1010126.41</v>
      </c>
      <c r="K5" s="12">
        <v>1063610.6299999999</v>
      </c>
      <c r="L5" s="12">
        <v>1024897.2599999999</v>
      </c>
      <c r="M5" s="12">
        <v>1099864.56</v>
      </c>
      <c r="N5" s="12">
        <v>1014224.02</v>
      </c>
    </row>
    <row r="6" spans="2:14" x14ac:dyDescent="0.25">
      <c r="B6" s="13">
        <v>0</v>
      </c>
      <c r="C6" s="13">
        <f>B6+C7</f>
        <v>900000</v>
      </c>
      <c r="D6" s="13">
        <f t="shared" ref="D6:N6" si="5">C6+D7</f>
        <v>1800000</v>
      </c>
      <c r="E6" s="13">
        <f t="shared" si="5"/>
        <v>2821450</v>
      </c>
      <c r="F6" s="13">
        <f t="shared" si="5"/>
        <v>3856450</v>
      </c>
      <c r="G6" s="13">
        <f t="shared" si="5"/>
        <v>4891450</v>
      </c>
      <c r="H6" s="13">
        <f t="shared" si="5"/>
        <v>5966450</v>
      </c>
      <c r="I6" s="13">
        <f t="shared" si="5"/>
        <v>6932704.9242424248</v>
      </c>
      <c r="J6" s="13">
        <f t="shared" si="5"/>
        <v>7994629.924242422</v>
      </c>
      <c r="K6" s="13">
        <f t="shared" si="5"/>
        <v>9064224.9999999981</v>
      </c>
      <c r="L6" s="13">
        <f t="shared" si="5"/>
        <v>10030479.924242426</v>
      </c>
      <c r="M6" s="13">
        <f t="shared" si="5"/>
        <v>11113075.000000002</v>
      </c>
      <c r="N6" s="13">
        <f t="shared" si="5"/>
        <v>12000000.000000002</v>
      </c>
    </row>
    <row r="7" spans="2:14" x14ac:dyDescent="0.25">
      <c r="B7" s="9"/>
      <c r="C7" s="14">
        <v>900000</v>
      </c>
      <c r="D7" s="14">
        <v>900000</v>
      </c>
      <c r="E7" s="14">
        <v>1021450</v>
      </c>
      <c r="F7" s="14">
        <v>1035000</v>
      </c>
      <c r="G7" s="14">
        <v>1035000</v>
      </c>
      <c r="H7" s="14">
        <v>1075000</v>
      </c>
      <c r="I7" s="14">
        <v>966254.92424242466</v>
      </c>
      <c r="J7" s="14">
        <v>1061924.9999999967</v>
      </c>
      <c r="K7" s="14">
        <v>1069595.0757575766</v>
      </c>
      <c r="L7" s="14">
        <v>966254.92424242664</v>
      </c>
      <c r="M7" s="14">
        <v>1082595.0757575766</v>
      </c>
      <c r="N7" s="14">
        <v>886924.99999999965</v>
      </c>
    </row>
    <row r="40" spans="2:14" x14ac:dyDescent="0.25">
      <c r="C40" s="7" t="s">
        <v>0</v>
      </c>
      <c r="D40" s="7" t="s">
        <v>1</v>
      </c>
      <c r="E40" s="7" t="s">
        <v>2</v>
      </c>
      <c r="F40" s="7" t="s">
        <v>12</v>
      </c>
      <c r="G40" s="7" t="s">
        <v>4</v>
      </c>
      <c r="H40" s="7" t="s">
        <v>5</v>
      </c>
      <c r="I40" s="7" t="s">
        <v>6</v>
      </c>
      <c r="J40" s="7" t="s">
        <v>7</v>
      </c>
      <c r="K40" s="7" t="s">
        <v>8</v>
      </c>
      <c r="L40" s="7" t="s">
        <v>9</v>
      </c>
      <c r="M40" s="7" t="s">
        <v>10</v>
      </c>
      <c r="N40" s="7" t="s">
        <v>11</v>
      </c>
    </row>
    <row r="41" spans="2:14" x14ac:dyDescent="0.25">
      <c r="B41" s="16" t="s">
        <v>13</v>
      </c>
      <c r="C41" s="15">
        <v>852827.79</v>
      </c>
      <c r="D41" s="16">
        <v>1088909.07</v>
      </c>
      <c r="E41" s="16">
        <v>935750.83</v>
      </c>
      <c r="F41" s="16">
        <v>732499.61</v>
      </c>
      <c r="G41" s="16">
        <v>1215090.94</v>
      </c>
      <c r="H41" s="16">
        <v>1041557.89</v>
      </c>
      <c r="I41" s="16">
        <v>557305.30000000005</v>
      </c>
      <c r="J41" s="16">
        <v>1116898.71</v>
      </c>
      <c r="K41" s="16">
        <v>797739.54</v>
      </c>
      <c r="L41" s="16">
        <v>980525.8</v>
      </c>
      <c r="M41" s="16">
        <v>748449.13</v>
      </c>
      <c r="N41" s="16">
        <v>725032.06</v>
      </c>
    </row>
    <row r="42" spans="2:14" x14ac:dyDescent="0.25">
      <c r="B42" s="8" t="s">
        <v>14</v>
      </c>
      <c r="C42" s="8">
        <f>IF(ISBLANK(C3), "", C3)</f>
        <v>844942.9600000002</v>
      </c>
      <c r="D42" s="8">
        <f t="shared" ref="D42:N42" si="6">IF(ISBLANK(D3), "", D3)</f>
        <v>992578.01</v>
      </c>
      <c r="E42" s="8">
        <f t="shared" si="6"/>
        <v>755367.04</v>
      </c>
      <c r="F42" s="8">
        <f t="shared" si="6"/>
        <v>1069724.7099999997</v>
      </c>
      <c r="G42" s="8">
        <f t="shared" si="6"/>
        <v>891714.06999999983</v>
      </c>
      <c r="H42" s="8">
        <f t="shared" si="6"/>
        <v>1147584.94</v>
      </c>
      <c r="I42" s="8">
        <f t="shared" si="6"/>
        <v>1015956.7099999998</v>
      </c>
      <c r="J42" s="8">
        <f>IF(ISBLANK(J3), "", J3)</f>
        <v>1033703.9100000003</v>
      </c>
      <c r="K42" s="8">
        <f>IF(ISBLANK(K3), "", K3)</f>
        <v>960939.77</v>
      </c>
      <c r="L42" s="8">
        <f t="shared" si="6"/>
        <v>1139232.28</v>
      </c>
      <c r="M42" s="8">
        <f t="shared" si="6"/>
        <v>1387232.7599999995</v>
      </c>
      <c r="N42" s="8">
        <f t="shared" si="6"/>
        <v>1218408.8299999998</v>
      </c>
    </row>
    <row r="43" spans="2:14" x14ac:dyDescent="0.25">
      <c r="B43" s="17" t="s">
        <v>15</v>
      </c>
      <c r="C43" s="17">
        <v>806590.68</v>
      </c>
      <c r="D43" s="17">
        <v>818808.37</v>
      </c>
      <c r="E43" s="17">
        <v>987048.15</v>
      </c>
      <c r="F43" s="17">
        <v>1094372.6499999999</v>
      </c>
      <c r="G43" s="17">
        <v>979335.11</v>
      </c>
      <c r="H43" s="17">
        <v>973603.98</v>
      </c>
      <c r="I43" s="17">
        <v>818046.2</v>
      </c>
      <c r="J43" s="17">
        <v>1011790.84</v>
      </c>
      <c r="K43" s="17">
        <v>896927.41</v>
      </c>
      <c r="L43" s="17">
        <v>978714.81</v>
      </c>
      <c r="M43" s="17">
        <v>857980.44000000006</v>
      </c>
      <c r="N43" s="17">
        <v>851294.3</v>
      </c>
    </row>
    <row r="44" spans="2:14" x14ac:dyDescent="0.25">
      <c r="B44" s="12" t="s">
        <v>16</v>
      </c>
      <c r="C44" s="12">
        <f>IF(ISBLANK(C5), "", C5)</f>
        <v>881453.75999999989</v>
      </c>
      <c r="D44" s="12">
        <f t="shared" ref="D44:N44" si="7">IF(ISBLANK(D5), "", D5)</f>
        <v>734697.66</v>
      </c>
      <c r="E44" s="12">
        <f t="shared" si="7"/>
        <v>780683.81</v>
      </c>
      <c r="F44" s="12">
        <f t="shared" si="7"/>
        <v>942485.29</v>
      </c>
      <c r="G44" s="12">
        <f t="shared" si="7"/>
        <v>924715.83000000007</v>
      </c>
      <c r="H44" s="12">
        <f t="shared" si="7"/>
        <v>1054174.9100000001</v>
      </c>
      <c r="I44" s="12">
        <f t="shared" si="7"/>
        <v>1023904.2600000001</v>
      </c>
      <c r="J44" s="12">
        <f t="shared" si="7"/>
        <v>1010126.41</v>
      </c>
      <c r="K44" s="12">
        <f t="shared" si="7"/>
        <v>1063610.6299999999</v>
      </c>
      <c r="L44" s="12">
        <f t="shared" si="7"/>
        <v>1024897.2599999999</v>
      </c>
      <c r="M44" s="12">
        <f t="shared" si="7"/>
        <v>1099864.56</v>
      </c>
      <c r="N44" s="12">
        <f t="shared" si="7"/>
        <v>1014224.02</v>
      </c>
    </row>
    <row r="47" spans="2:14" s="9" customFormat="1" x14ac:dyDescent="0.25"/>
    <row r="48" spans="2:14" s="9" customFormat="1" x14ac:dyDescent="0.25"/>
    <row r="49" spans="2:10" x14ac:dyDescent="0.25">
      <c r="B49" s="1"/>
      <c r="D49" s="1"/>
      <c r="E49" s="1"/>
      <c r="F49" s="1"/>
      <c r="G49" s="1"/>
      <c r="H49" s="1"/>
      <c r="I49" s="1"/>
      <c r="J49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topLeftCell="A4" zoomScale="85" zoomScaleNormal="85" workbookViewId="0">
      <selection activeCell="P30" sqref="P30"/>
    </sheetView>
  </sheetViews>
  <sheetFormatPr defaultRowHeight="15" x14ac:dyDescent="0.25"/>
  <cols>
    <col min="1" max="1" width="15.7109375" style="1" customWidth="1"/>
    <col min="2" max="2" width="15.7109375" customWidth="1"/>
    <col min="3" max="14" width="15.7109375" style="1" customWidth="1"/>
  </cols>
  <sheetData>
    <row r="1" spans="1:14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1">
        <v>2023</v>
      </c>
      <c r="B2">
        <v>0</v>
      </c>
      <c r="C2" s="4">
        <v>852827.79</v>
      </c>
      <c r="D2" s="5">
        <f>C2+1088909.07</f>
        <v>1941736.86</v>
      </c>
      <c r="E2" s="5">
        <f>D2+935750.83</f>
        <v>2877487.69</v>
      </c>
      <c r="F2" s="5">
        <f>E2+732499.61</f>
        <v>3609987.3</v>
      </c>
      <c r="G2" s="5">
        <f>F2+1215090.94</f>
        <v>4825078.24</v>
      </c>
      <c r="H2" s="5">
        <f>G2+1041557.89</f>
        <v>5866636.1299999999</v>
      </c>
      <c r="I2" s="5">
        <f>H2+557305.3</f>
        <v>6423941.4299999997</v>
      </c>
      <c r="J2" s="5">
        <f>I2+1116898.71</f>
        <v>7540840.1399999997</v>
      </c>
      <c r="K2" s="5">
        <f>J2+797739.54</f>
        <v>8338579.6799999997</v>
      </c>
      <c r="L2" s="5">
        <f>K2+980525.8</f>
        <v>9319105.4800000004</v>
      </c>
      <c r="M2" s="5">
        <f>L2+M3</f>
        <v>10067554.610000001</v>
      </c>
      <c r="N2" s="5">
        <f>M2+N3</f>
        <v>10792586.670000002</v>
      </c>
    </row>
    <row r="3" spans="1:14" x14ac:dyDescent="0.25">
      <c r="C3" s="4"/>
      <c r="D3" s="5"/>
      <c r="E3" s="5"/>
      <c r="F3" s="5"/>
      <c r="G3" s="5"/>
      <c r="H3" s="5"/>
      <c r="I3" s="5"/>
      <c r="J3" s="5"/>
      <c r="K3" s="5"/>
      <c r="L3" s="5"/>
      <c r="M3" s="1">
        <v>748449.13</v>
      </c>
      <c r="N3" s="1">
        <v>725032.06</v>
      </c>
    </row>
    <row r="4" spans="1:14" x14ac:dyDescent="0.25">
      <c r="C4" s="1">
        <v>750000</v>
      </c>
      <c r="D4" s="1">
        <f>C4+800000</f>
        <v>1550000</v>
      </c>
      <c r="E4" s="1">
        <f>D4+1190000</f>
        <v>2740000</v>
      </c>
      <c r="F4" s="1">
        <f>E4+1190000</f>
        <v>3930000</v>
      </c>
      <c r="G4" s="1">
        <f>F4+1190000</f>
        <v>5120000</v>
      </c>
      <c r="H4" s="1">
        <f>G4+800000</f>
        <v>5920000</v>
      </c>
      <c r="I4" s="1">
        <f>H4+1190000</f>
        <v>7110000</v>
      </c>
      <c r="J4" s="1">
        <f>I4+1190000</f>
        <v>8300000</v>
      </c>
      <c r="K4" s="1">
        <f>J4+1190000</f>
        <v>9490000</v>
      </c>
      <c r="L4" s="1">
        <f>K4+1190000</f>
        <v>10680000</v>
      </c>
      <c r="M4" s="1">
        <f>L4+1190000</f>
        <v>11870000</v>
      </c>
      <c r="N4" s="1">
        <f>M4+750000</f>
        <v>12620000</v>
      </c>
    </row>
    <row r="5" spans="1:14" x14ac:dyDescent="0.25">
      <c r="B5">
        <v>0</v>
      </c>
      <c r="C5" s="1">
        <v>806590.68</v>
      </c>
      <c r="D5" s="1">
        <f>C5+D6</f>
        <v>1625399.05</v>
      </c>
      <c r="E5" s="1">
        <f>D5+987048.15</f>
        <v>2612447.2000000002</v>
      </c>
      <c r="F5" s="1">
        <f>E5+1094372.65</f>
        <v>3706819.85</v>
      </c>
      <c r="G5" s="1">
        <f>F5+979335.11</f>
        <v>4686154.96</v>
      </c>
      <c r="H5" s="1">
        <f>G5+973603.98</f>
        <v>5659758.9399999995</v>
      </c>
      <c r="I5" s="1">
        <f>H5+818046.2</f>
        <v>6477805.1399999997</v>
      </c>
      <c r="J5" s="5">
        <f>I5+1011790.84</f>
        <v>7489595.9799999995</v>
      </c>
      <c r="K5" s="5">
        <f>J5+896927.41</f>
        <v>8386523.3899999997</v>
      </c>
      <c r="L5" s="5">
        <f>K5+L6</f>
        <v>9365238.1999999993</v>
      </c>
      <c r="M5" s="5">
        <f>L5+M6</f>
        <v>10223218.639999999</v>
      </c>
      <c r="N5" s="5">
        <f>M5+N6</f>
        <v>11074512.939999999</v>
      </c>
    </row>
    <row r="6" spans="1:14" x14ac:dyDescent="0.25">
      <c r="C6" s="1">
        <v>806590.68</v>
      </c>
      <c r="D6" s="1">
        <v>818808.37</v>
      </c>
      <c r="L6" s="1">
        <v>978714.81</v>
      </c>
      <c r="M6" s="1">
        <v>857980.44000000006</v>
      </c>
      <c r="N6" s="1">
        <v>851294.3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zoomScale="110" zoomScaleNormal="110" workbookViewId="0">
      <selection activeCell="N5" sqref="N5"/>
    </sheetView>
  </sheetViews>
  <sheetFormatPr defaultRowHeight="15" x14ac:dyDescent="0.25"/>
  <cols>
    <col min="1" max="1" width="15.7109375" style="1" customWidth="1"/>
    <col min="2" max="2" width="15.7109375" customWidth="1"/>
    <col min="3" max="14" width="15.7109375" style="1" customWidth="1"/>
  </cols>
  <sheetData>
    <row r="1" spans="1:14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1">
        <v>2023</v>
      </c>
      <c r="B2">
        <v>0</v>
      </c>
      <c r="C2" s="4">
        <v>852827.79</v>
      </c>
      <c r="D2" s="6">
        <f>C2+1088909.07</f>
        <v>1941736.86</v>
      </c>
      <c r="E2" s="5">
        <f>D2+935750.83</f>
        <v>2877487.69</v>
      </c>
    </row>
    <row r="3" spans="1:14" x14ac:dyDescent="0.25">
      <c r="A3" s="1">
        <v>2022</v>
      </c>
      <c r="B3">
        <v>0</v>
      </c>
      <c r="C3" s="2">
        <v>1037420.61</v>
      </c>
      <c r="D3" s="2">
        <f>C3+773851.16</f>
        <v>1811271.77</v>
      </c>
      <c r="E3" s="2">
        <f>D3+970524.756</f>
        <v>2781796.5260000001</v>
      </c>
      <c r="F3" s="3">
        <f>E3+917002.17</f>
        <v>3698798.696</v>
      </c>
      <c r="G3" s="3">
        <f>F3+1352761.65</f>
        <v>5051560.3459999999</v>
      </c>
      <c r="H3" s="3">
        <f>G3+796368.29</f>
        <v>5847928.6359999999</v>
      </c>
      <c r="I3" s="3">
        <f>H3+1019379.77</f>
        <v>6867308.4059999995</v>
      </c>
      <c r="J3" s="3">
        <f>I3+973597.23</f>
        <v>7840905.6359999999</v>
      </c>
      <c r="K3" s="3">
        <f>J3+1069709.21</f>
        <v>8910614.8460000008</v>
      </c>
      <c r="L3" s="3">
        <f>K3+568325.98</f>
        <v>9478940.8260000013</v>
      </c>
      <c r="M3" s="3">
        <f>L3+724957.67</f>
        <v>10203898.496000001</v>
      </c>
      <c r="N3" s="3">
        <f>M3+765902.13</f>
        <v>10969800.626000002</v>
      </c>
    </row>
    <row r="4" spans="1:14" x14ac:dyDescent="0.25">
      <c r="A4" s="1">
        <v>2021</v>
      </c>
      <c r="B4">
        <v>0</v>
      </c>
      <c r="C4" s="2">
        <v>1247663.42</v>
      </c>
      <c r="D4" s="2">
        <f>C4+656278.97</f>
        <v>1903942.39</v>
      </c>
      <c r="E4" s="2">
        <f>D4+1132296.83</f>
        <v>3036239.2199999997</v>
      </c>
      <c r="F4" s="2">
        <f>E4+776922.13</f>
        <v>3813161.3499999996</v>
      </c>
      <c r="G4" s="2">
        <f>F4+705169.03</f>
        <v>4518330.38</v>
      </c>
      <c r="H4" s="2">
        <f>G4+726960.14</f>
        <v>5245290.5199999996</v>
      </c>
      <c r="I4" s="2">
        <f>H4+742100.52</f>
        <v>5987391.0399999991</v>
      </c>
      <c r="J4" s="2">
        <f>I4+855874.31</f>
        <v>6843265.3499999996</v>
      </c>
      <c r="K4" s="2">
        <f>J4+896697.42</f>
        <v>7739962.7699999996</v>
      </c>
      <c r="L4" s="2">
        <f>K4+735919.14</f>
        <v>8475881.9100000001</v>
      </c>
      <c r="M4" s="2">
        <f>L4+722316.72</f>
        <v>9198198.6300000008</v>
      </c>
      <c r="N4" s="2">
        <f>M4+991758.07</f>
        <v>10189956.700000001</v>
      </c>
    </row>
    <row r="5" spans="1:14" x14ac:dyDescent="0.25">
      <c r="A5" s="1">
        <v>2020</v>
      </c>
      <c r="B5">
        <v>0</v>
      </c>
      <c r="C5" s="2">
        <v>706328.87</v>
      </c>
      <c r="D5" s="2">
        <f>C5+820397.93</f>
        <v>1526726.8</v>
      </c>
      <c r="E5" s="2">
        <f>D5+1195284.02</f>
        <v>2722010.8200000003</v>
      </c>
      <c r="F5" s="2">
        <f>E5+1385404.27</f>
        <v>4107415.0900000003</v>
      </c>
      <c r="G5" s="2">
        <f>F5+1678341.41</f>
        <v>5785756.5</v>
      </c>
      <c r="H5" s="2">
        <f>G5+1099413.17</f>
        <v>6885169.6699999999</v>
      </c>
      <c r="I5" s="2">
        <f>H5+1032297.01</f>
        <v>7917466.6799999997</v>
      </c>
      <c r="J5" s="2">
        <f>I5+800371.84</f>
        <v>8717838.5199999996</v>
      </c>
      <c r="K5" s="2">
        <f>J5+994029.87</f>
        <v>9711868.3899999987</v>
      </c>
      <c r="L5" s="2">
        <f>K5+1231244.81</f>
        <v>10943113.199999999</v>
      </c>
      <c r="M5" s="2">
        <f>L5+870324.5</f>
        <v>11813437.699999999</v>
      </c>
      <c r="N5" s="2">
        <f>M5+560058</f>
        <v>12373495.699999999</v>
      </c>
    </row>
    <row r="6" spans="1:14" x14ac:dyDescent="0.25">
      <c r="A6" s="1">
        <v>2019</v>
      </c>
      <c r="B6">
        <v>0</v>
      </c>
      <c r="C6" s="2">
        <v>1177735.3799999999</v>
      </c>
      <c r="D6" s="2">
        <f>C6+787968.47</f>
        <v>1965703.8499999999</v>
      </c>
      <c r="E6" s="2">
        <f>D6+855343.02</f>
        <v>2821046.87</v>
      </c>
      <c r="F6" s="2">
        <f>E6+893600.81</f>
        <v>3714647.68</v>
      </c>
      <c r="G6" s="2">
        <f>F6+859228.94</f>
        <v>4573876.62</v>
      </c>
      <c r="H6" s="2">
        <f>G6+735108.86</f>
        <v>5308985.4800000004</v>
      </c>
      <c r="I6" s="2">
        <f>H6+564790.13</f>
        <v>5873775.6100000003</v>
      </c>
      <c r="J6" s="2">
        <f>I6+1041939.72</f>
        <v>6915715.3300000001</v>
      </c>
      <c r="K6" s="2">
        <f>J6+901343.22</f>
        <v>7817058.5499999998</v>
      </c>
      <c r="L6" s="2">
        <f>K6+833595.63</f>
        <v>8650654.1799999997</v>
      </c>
      <c r="M6" s="2">
        <f>L6+816869.68</f>
        <v>9467523.8599999994</v>
      </c>
      <c r="N6" s="2">
        <f>M6+623415.01</f>
        <v>10090938.869999999</v>
      </c>
    </row>
    <row r="7" spans="1:14" x14ac:dyDescent="0.25">
      <c r="A7" s="1">
        <v>2018</v>
      </c>
      <c r="B7">
        <v>0</v>
      </c>
      <c r="C7" s="2">
        <v>762199.29</v>
      </c>
      <c r="D7" s="2">
        <f>C7+693037.09</f>
        <v>1455236.38</v>
      </c>
      <c r="E7" s="2">
        <f>D7+802221.92</f>
        <v>2257458.2999999998</v>
      </c>
      <c r="F7" s="2">
        <f>E7+616174.56</f>
        <v>2873632.86</v>
      </c>
      <c r="G7" s="2">
        <f>F7+798962.43</f>
        <v>3672595.29</v>
      </c>
      <c r="H7" s="2">
        <f>G7+816217.71</f>
        <v>4488813</v>
      </c>
      <c r="I7" s="2">
        <f>H7+813509.29</f>
        <v>5302322.29</v>
      </c>
      <c r="J7" s="2">
        <f>I7+852419.43</f>
        <v>6154741.7199999997</v>
      </c>
      <c r="K7" s="2">
        <f>J7+696166.49</f>
        <v>6850908.21</v>
      </c>
      <c r="L7" s="2">
        <f>K7+859756.13</f>
        <v>7710664.3399999999</v>
      </c>
      <c r="M7" s="2">
        <f>L7+690268.62</f>
        <v>8400932.959999999</v>
      </c>
      <c r="N7" s="2">
        <f>M7+644832.49</f>
        <v>9045765.4499999993</v>
      </c>
    </row>
    <row r="8" spans="1:14" x14ac:dyDescent="0.25">
      <c r="N8" s="1">
        <v>13000000</v>
      </c>
    </row>
    <row r="9" spans="1:14" x14ac:dyDescent="0.25">
      <c r="M9" s="1">
        <v>10203898.5</v>
      </c>
      <c r="N9" s="1">
        <v>10800000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OLD 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Hrbek</dc:creator>
  <cp:lastModifiedBy>q00725 emco</cp:lastModifiedBy>
  <cp:lastPrinted>2023-02-01T19:53:59Z</cp:lastPrinted>
  <dcterms:created xsi:type="dcterms:W3CDTF">2022-12-07T18:36:40Z</dcterms:created>
  <dcterms:modified xsi:type="dcterms:W3CDTF">2026-05-21T18:48:34Z</dcterms:modified>
</cp:coreProperties>
</file>