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ncumulative" sheetId="1" state="visible" r:id="rId3"/>
    <sheet name="2023" sheetId="2" state="visible" r:id="rId4"/>
    <sheet name="2024" sheetId="3" state="visible" r:id="rId5"/>
    <sheet name="2025" sheetId="4" state="visible" r:id="rId6"/>
    <sheet name="2026" sheetId="5" state="visible" r:id="rId7"/>
    <sheet name="other_years" sheetId="6" state="visible" r:id="rId8"/>
    <sheet name="READM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<sst xmlns="http://schemas.openxmlformats.org/spreadsheetml/2006/main" count="167" uniqueCount="38">
  <si>
    <t xml:space="preserve">2023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</si>
  <si>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</si>
  <si>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</si>
  <si>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</si>
  <si>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</si>
  <si>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</si>
  <si>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</si>
  <si>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</si>
  <si>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</si>
  <si>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</si>
  <si>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</si>
  <si>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</si>
  <si>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</si>
  <si>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Year-End</t>
  </si>
  <si>
    <t xml:space="preserve">Written</t>
  </si>
  <si>
    <t xml:space="preserve">Invoiced</t>
  </si>
  <si>
    <t xml:space="preserve">Goal</t>
  </si>
  <si>
    <t xml:space="preserve">2024</t>
  </si>
  <si>
    <t xml:space="preserve">2025</t>
  </si>
  <si>
    <t xml:space="preserve">2026</t>
  </si>
  <si>
    <t xml:space="preserve">SYNTHETIC DATA -- NOT REAL BUSINESS RECORDS</t>
  </si>
  <si>
    <t xml:space="preserve">Every figure in this workbook was randomly generated from the parameters</t>
  </si>
  <si>
    <t xml:space="preserve">listed below. No value is derived from, scaled from, or transformed out of</t>
  </si>
  <si>
    <t xml:space="preserve">any real sales record. There is no factor that recovers actual figures.</t>
  </si>
  <si>
    <t xml:space="preserve">Generation parameters</t>
  </si>
  <si>
    <t xml:space="preserve">Random seed: 20260828 (regenerating with this seed reproduces the file exactly)</t>
  </si>
  <si>
    <t xml:space="preserve">Annual written volume: $8.6M (2018) rising to $13.9M (2026 full-year pace)</t>
  </si>
  <si>
    <t xml:space="preserve">Annual goal: $11.0M (2023), $12.5M (2024), $13.25M (2025), $14.4M (2026)</t>
  </si>
  <si>
    <t xml:space="preserve">Invoiced-to-written ratio: 0.964 - 0.985 depending on year</t>
  </si>
  <si>
    <t xml:space="preserve">Seasonal curve: mild, 0.90x - 1.10x of the monthly mean, same every year</t>
  </si>
  <si>
    <t xml:space="preserve">Month-level random noise: +/- 6%</t>
  </si>
  <si>
    <t xml:space="preserve">Goal increments rounded to the nearest $5,000; December absorbs the remainder</t>
  </si>
  <si>
    <t xml:space="preserve">2026 treated as partial: Jan-Jul actual, Aug-Dec not yet booked</t>
  </si>
  <si>
    <t xml:space="preserve">Structure</t>
  </si>
  <si>
    <t xml:space="preserve">'noncumulative' holds the monthly increments and is the only source data.</t>
  </si>
  <si>
    <t xml:space="preserve">The 2023-2026 tabs are running totals that reference it by formula.</t>
  </si>
  <si>
    <t xml:space="preserve">'other_years' holds cumulative-only rows for 2018-2022.</t>
  </si>
  <si>
    <t xml:space="preserve">Year-End on a partial row sums only the months present (YTD, not projected).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</si>
</sst>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922819.06</v>
      </c>
      <c r="C2" s="3" t="n">
        <v>847190.91</v>
      </c>
      <c r="D2" s="3" t="n">
        <v>995154.17</v>
      </c>
      <c r="E2" s="3" t="n">
        <v>981612.61</v>
      </c>
      <c r="F2" s="3" t="n">
        <v>952273.28</v>
      </c>
      <c r="G2" s="3" t="n">
        <v>1042681.53</v>
      </c>
      <c r="H2" s="3" t="n">
        <v>859388.24</v>
      </c>
      <c r="I2" s="3" t="n">
        <v>838934.49</v>
      </c>
      <c r="J2" s="3" t="n">
        <v>1028181.58</v>
      </c>
      <c r="K2" s="3" t="n">
        <v>1059737.46</v>
      </c>
      <c r="L2" s="3" t="n">
        <v>993236.61</v>
      </c>
      <c r="M2" s="3" t="n">
        <v>886912.39</v>
      </c>
      <c r="N2" s="3" t="n">
        <f aca="false">SUM(B2:M2)</f>
        <v>11408122.33</v>
      </c>
    </row>
    <row r="3" customFormat="false" ht="15" hidden="false" customHeight="false" outlineLevel="0" collapsed="false">
      <c r="A3" s="2" t="s">
        <v>15</v>
      </c>
      <c r="B3" s="3" t="n">
        <v>853167.64</v>
      </c>
      <c r="C3" s="3" t="n">
        <v>869459.97</v>
      </c>
      <c r="D3" s="3" t="n">
        <v>1012409.17</v>
      </c>
      <c r="E3" s="3" t="n">
        <v>932832.01</v>
      </c>
      <c r="F3" s="3" t="n">
        <v>986972.38</v>
      </c>
      <c r="G3" s="3" t="n">
        <v>958062.17</v>
      </c>
      <c r="H3" s="3" t="n">
        <v>843080.71</v>
      </c>
      <c r="I3" s="3" t="n">
        <v>863429.9</v>
      </c>
      <c r="J3" s="3" t="n">
        <v>955823.17</v>
      </c>
      <c r="K3" s="3" t="n">
        <v>980276.74</v>
      </c>
      <c r="L3" s="3" t="n">
        <v>981098.45</v>
      </c>
      <c r="M3" s="3" t="n">
        <v>853137.86</v>
      </c>
      <c r="N3" s="3" t="n">
        <f aca="false">SUM(B3:M3)</f>
        <v>11089750.17</v>
      </c>
    </row>
    <row r="4" customFormat="false" ht="15" hidden="false" customHeight="false" outlineLevel="0" collapsed="false">
      <c r="A4" s="2" t="s">
        <v>16</v>
      </c>
      <c r="B4" s="3" t="n">
        <v>855000</v>
      </c>
      <c r="C4" s="3" t="n">
        <v>865000</v>
      </c>
      <c r="D4" s="3" t="n">
        <v>880000</v>
      </c>
      <c r="E4" s="3" t="n">
        <v>890000</v>
      </c>
      <c r="F4" s="3" t="n">
        <v>900000</v>
      </c>
      <c r="G4" s="3" t="n">
        <v>910000</v>
      </c>
      <c r="H4" s="3" t="n">
        <v>920000</v>
      </c>
      <c r="I4" s="3" t="n">
        <v>935000</v>
      </c>
      <c r="J4" s="3" t="n">
        <v>945000</v>
      </c>
      <c r="K4" s="3" t="n">
        <v>955000</v>
      </c>
      <c r="L4" s="3" t="n">
        <v>965000</v>
      </c>
      <c r="M4" s="3" t="n">
        <v>980000</v>
      </c>
      <c r="N4" s="3" t="n">
        <f aca="false">SUM(B4:M4)</f>
        <v>11000000</v>
      </c>
    </row>
    <row r="6" customFormat="false" ht="15" hidden="false" customHeight="false" outlineLevel="0" collapsed="false">
      <c r="A6" s="1" t="s">
        <v>17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</row>
    <row r="7" customFormat="false" ht="15" hidden="false" customHeight="false" outlineLevel="0" collapsed="false">
      <c r="A7" s="2" t="s">
        <v>14</v>
      </c>
      <c r="B7" s="3" t="n">
        <v>922759.59</v>
      </c>
      <c r="C7" s="3" t="n">
        <v>971020.75</v>
      </c>
      <c r="D7" s="3" t="n">
        <v>1081854.88</v>
      </c>
      <c r="E7" s="3" t="n">
        <v>1073530.26</v>
      </c>
      <c r="F7" s="3" t="n">
        <v>1073323.57</v>
      </c>
      <c r="G7" s="3" t="n">
        <v>1059153.31</v>
      </c>
      <c r="H7" s="3" t="n">
        <v>1005562.03</v>
      </c>
      <c r="I7" s="3" t="n">
        <v>928367.33</v>
      </c>
      <c r="J7" s="3" t="n">
        <v>1091174.88</v>
      </c>
      <c r="K7" s="3" t="n">
        <v>1120157.75</v>
      </c>
      <c r="L7" s="3" t="n">
        <v>992013.03</v>
      </c>
      <c r="M7" s="3" t="n">
        <v>909320.9</v>
      </c>
      <c r="N7" s="3" t="n">
        <f aca="false">SUM(B7:M7)</f>
        <v>12228238.28</v>
      </c>
    </row>
    <row r="8" customFormat="false" ht="15" hidden="false" customHeight="false" outlineLevel="0" collapsed="false">
      <c r="A8" s="2" t="s">
        <v>15</v>
      </c>
      <c r="B8" s="3" t="n">
        <v>955672.31</v>
      </c>
      <c r="C8" s="3" t="n">
        <v>959340.9</v>
      </c>
      <c r="D8" s="3" t="n">
        <v>1086548.68</v>
      </c>
      <c r="E8" s="3" t="n">
        <v>1036098.1</v>
      </c>
      <c r="F8" s="3" t="n">
        <v>1086450.61</v>
      </c>
      <c r="G8" s="3" t="n">
        <v>1089955.54</v>
      </c>
      <c r="H8" s="3" t="n">
        <v>935888.17</v>
      </c>
      <c r="I8" s="3" t="n">
        <v>841343.7</v>
      </c>
      <c r="J8" s="3" t="n">
        <v>992671.14</v>
      </c>
      <c r="K8" s="3" t="n">
        <v>1012539.5</v>
      </c>
      <c r="L8" s="3" t="n">
        <v>988117.9</v>
      </c>
      <c r="M8" s="3" t="n">
        <v>875012.52</v>
      </c>
      <c r="N8" s="3" t="n">
        <f aca="false">SUM(B8:M8)</f>
        <v>11859639.07</v>
      </c>
    </row>
    <row r="9" customFormat="false" ht="15" hidden="false" customHeight="false" outlineLevel="0" collapsed="false">
      <c r="A9" s="2" t="s">
        <v>16</v>
      </c>
      <c r="B9" s="3" t="n">
        <v>975000</v>
      </c>
      <c r="C9" s="3" t="n">
        <v>985000</v>
      </c>
      <c r="D9" s="3" t="n">
        <v>1000000</v>
      </c>
      <c r="E9" s="3" t="n">
        <v>1010000</v>
      </c>
      <c r="F9" s="3" t="n">
        <v>1025000</v>
      </c>
      <c r="G9" s="3" t="n">
        <v>1035000</v>
      </c>
      <c r="H9" s="3" t="n">
        <v>1050000</v>
      </c>
      <c r="I9" s="3" t="n">
        <v>1060000</v>
      </c>
      <c r="J9" s="3" t="n">
        <v>1075000</v>
      </c>
      <c r="K9" s="3" t="n">
        <v>1085000</v>
      </c>
      <c r="L9" s="3" t="n">
        <v>1100000</v>
      </c>
      <c r="M9" s="3" t="n">
        <v>1100000</v>
      </c>
      <c r="N9" s="3" t="n">
        <f aca="false">SUM(B9:M9)</f>
        <v>12500000</v>
      </c>
    </row>
    <row r="11" customFormat="false" ht="15" hidden="false" customHeight="false" outlineLevel="0" collapsed="false">
      <c r="A11" s="1" t="s">
        <v>18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</row>
    <row r="12" customFormat="false" ht="15" hidden="false" customHeight="false" outlineLevel="0" collapsed="false">
      <c r="A12" s="2" t="s">
        <v>14</v>
      </c>
      <c r="B12" s="3" t="n">
        <v>1051378.85</v>
      </c>
      <c r="C12" s="3" t="n">
        <v>993388.1</v>
      </c>
      <c r="D12" s="3" t="n">
        <v>1145096</v>
      </c>
      <c r="E12" s="3" t="n">
        <v>1144921.38</v>
      </c>
      <c r="F12" s="3" t="n">
        <v>1116082.18</v>
      </c>
      <c r="G12" s="3" t="n">
        <v>1220750.08</v>
      </c>
      <c r="H12" s="3" t="n">
        <v>951026.71</v>
      </c>
      <c r="I12" s="3" t="n">
        <v>969709.3</v>
      </c>
      <c r="J12" s="3" t="n">
        <v>1052806.27</v>
      </c>
      <c r="K12" s="3" t="n">
        <v>1142984.75</v>
      </c>
      <c r="L12" s="3" t="n">
        <v>1101604.17</v>
      </c>
      <c r="M12" s="3" t="n">
        <v>989477.96</v>
      </c>
      <c r="N12" s="3" t="n">
        <f aca="false">SUM(B12:M12)</f>
        <v>12879225.75</v>
      </c>
    </row>
    <row r="13" customFormat="false" ht="15" hidden="false" customHeight="false" outlineLevel="0" collapsed="false">
      <c r="A13" s="2" t="s">
        <v>15</v>
      </c>
      <c r="B13" s="3" t="n">
        <v>948545.55</v>
      </c>
      <c r="C13" s="3" t="n">
        <v>990818.99</v>
      </c>
      <c r="D13" s="3" t="n">
        <v>1149940.25</v>
      </c>
      <c r="E13" s="3" t="n">
        <v>1086995.47</v>
      </c>
      <c r="F13" s="3" t="n">
        <v>1103752.58</v>
      </c>
      <c r="G13" s="3" t="n">
        <v>1099456.61</v>
      </c>
      <c r="H13" s="3" t="n">
        <v>1033675.45</v>
      </c>
      <c r="I13" s="3" t="n">
        <v>904069.69</v>
      </c>
      <c r="J13" s="3" t="n">
        <v>1146812.55</v>
      </c>
      <c r="K13" s="3" t="n">
        <v>1096276.7</v>
      </c>
      <c r="L13" s="3" t="n">
        <v>1085240.62</v>
      </c>
      <c r="M13" s="3" t="n">
        <v>1015841.49</v>
      </c>
      <c r="N13" s="3" t="n">
        <f aca="false">SUM(B13:M13)</f>
        <v>12661425.95</v>
      </c>
    </row>
    <row r="14" customFormat="false" ht="15" hidden="false" customHeight="false" outlineLevel="0" collapsed="false">
      <c r="A14" s="2" t="s">
        <v>16</v>
      </c>
      <c r="B14" s="3" t="n">
        <v>1030000</v>
      </c>
      <c r="C14" s="3" t="n">
        <v>1045000</v>
      </c>
      <c r="D14" s="3" t="n">
        <v>1060000</v>
      </c>
      <c r="E14" s="3" t="n">
        <v>1070000</v>
      </c>
      <c r="F14" s="3" t="n">
        <v>1085000</v>
      </c>
      <c r="G14" s="3" t="n">
        <v>1100000</v>
      </c>
      <c r="H14" s="3" t="n">
        <v>1110000</v>
      </c>
      <c r="I14" s="3" t="n">
        <v>1125000</v>
      </c>
      <c r="J14" s="3" t="n">
        <v>1135000</v>
      </c>
      <c r="K14" s="3" t="n">
        <v>1150000</v>
      </c>
      <c r="L14" s="3" t="n">
        <v>1165000</v>
      </c>
      <c r="M14" s="3" t="n">
        <v>1175000</v>
      </c>
      <c r="N14" s="3" t="n">
        <f aca="false">SUM(B14:M14)</f>
        <v>13250000</v>
      </c>
    </row>
    <row r="16" customFormat="false" ht="15" hidden="false" customHeight="false" outlineLevel="0" collapsed="false">
      <c r="A16" s="1" t="s">
        <v>19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</row>
    <row r="17" customFormat="false" ht="15" hidden="false" customHeight="false" outlineLevel="0" collapsed="false">
      <c r="A17" s="2" t="s">
        <v>14</v>
      </c>
      <c r="B17" s="3" t="n">
        <v>1031634.81</v>
      </c>
      <c r="C17" s="3" t="n">
        <v>1110602.66</v>
      </c>
      <c r="D17" s="3" t="n">
        <v>1260781.39</v>
      </c>
      <c r="E17" s="3" t="n">
        <v>1138519.95</v>
      </c>
      <c r="F17" s="3" t="n">
        <v>1156714.62</v>
      </c>
      <c r="G17" s="3" t="n">
        <v>1290895.25</v>
      </c>
      <c r="H17" s="3" t="n">
        <v>1056582.06</v>
      </c>
      <c r="I17" s="3"/>
      <c r="J17" s="3"/>
      <c r="K17" s="3"/>
      <c r="L17" s="3"/>
      <c r="M17" s="3"/>
      <c r="N17" s="3" t="n">
        <f aca="false">SUM(B17:M17)</f>
        <v>8045730.74</v>
      </c>
    </row>
    <row r="18" customFormat="false" ht="15" hidden="false" customHeight="false" outlineLevel="0" collapsed="false">
      <c r="A18" s="2" t="s">
        <v>15</v>
      </c>
      <c r="B18" s="3" t="n">
        <v>1074406.98</v>
      </c>
      <c r="C18" s="3" t="n">
        <v>1001516.79</v>
      </c>
      <c r="D18" s="3" t="n">
        <v>1249785.31</v>
      </c>
      <c r="E18" s="3" t="n">
        <v>1154729.65</v>
      </c>
      <c r="F18" s="3" t="n">
        <v>1234564.48</v>
      </c>
      <c r="G18" s="3" t="n">
        <v>1272769.54</v>
      </c>
      <c r="H18" s="3" t="n">
        <v>1067937.01</v>
      </c>
      <c r="I18" s="3"/>
      <c r="J18" s="3"/>
      <c r="K18" s="3"/>
      <c r="L18" s="3"/>
      <c r="M18" s="3"/>
      <c r="N18" s="3" t="n">
        <f aca="false">SUM(B18:M18)</f>
        <v>8055709.76</v>
      </c>
    </row>
    <row r="19" customFormat="false" ht="15" hidden="false" customHeight="false" outlineLevel="0" collapsed="false">
      <c r="A19" s="2" t="s">
        <v>16</v>
      </c>
      <c r="B19" s="3" t="n">
        <v>1120000</v>
      </c>
      <c r="C19" s="3" t="n">
        <v>1135000</v>
      </c>
      <c r="D19" s="3" t="n">
        <v>1150000</v>
      </c>
      <c r="E19" s="3" t="n">
        <v>1165000</v>
      </c>
      <c r="F19" s="3" t="n">
        <v>1180000</v>
      </c>
      <c r="G19" s="3" t="n">
        <v>1195000</v>
      </c>
      <c r="H19" s="3" t="n">
        <v>1205000</v>
      </c>
      <c r="I19" s="3" t="n">
        <v>1220000</v>
      </c>
      <c r="J19" s="3" t="n">
        <v>1235000</v>
      </c>
      <c r="K19" s="3" t="n">
        <v>1250000</v>
      </c>
      <c r="L19" s="3" t="n">
        <v>1265000</v>
      </c>
      <c r="M19" s="3" t="n">
        <v>1280000</v>
      </c>
      <c r="N19" s="3" t="n">
        <f aca="false">SUM(B19:M19)</f>
        <v>14400000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f aca="false">noncumulative!B2</f>
        <v>922819.06</v>
      </c>
      <c r="C2" s="3" t="n">
        <f aca="false">B2+noncumulative!C2</f>
        <v>1770009.97</v>
      </c>
      <c r="D2" s="3" t="n">
        <f aca="false">C2+noncumulative!D2</f>
        <v>2765164.14</v>
      </c>
      <c r="E2" s="3" t="n">
        <f aca="false">D2+noncumulative!E2</f>
        <v>3746776.75</v>
      </c>
      <c r="F2" s="3" t="n">
        <f aca="false">E2+noncumulative!F2</f>
        <v>4699050.03</v>
      </c>
      <c r="G2" s="3" t="n">
        <f aca="false">F2+noncumulative!G2</f>
        <v>5741731.56</v>
      </c>
      <c r="H2" s="3" t="n">
        <f aca="false">G2+noncumulative!H2</f>
        <v>6601119.8</v>
      </c>
      <c r="I2" s="3" t="n">
        <f aca="false">H2+noncumulative!I2</f>
        <v>7440054.29</v>
      </c>
      <c r="J2" s="3" t="n">
        <f aca="false">I2+noncumulative!J2</f>
        <v>8468235.87</v>
      </c>
      <c r="K2" s="3" t="n">
        <f aca="false">J2+noncumulative!K2</f>
        <v>9527973.33</v>
      </c>
      <c r="L2" s="3" t="n">
        <f aca="false">K2+noncumulative!L2</f>
        <v>10521209.94</v>
      </c>
      <c r="M2" s="3" t="n">
        <f aca="false">L2+noncumulative!M2</f>
        <v>11408122.33</v>
      </c>
      <c r="N2" s="3" t="n">
        <f aca="false">M2</f>
        <v>11408122.33</v>
      </c>
    </row>
    <row r="3" customFormat="false" ht="15" hidden="false" customHeight="false" outlineLevel="0" collapsed="false">
      <c r="A3" s="2" t="s">
        <v>15</v>
      </c>
      <c r="B3" s="3" t="n">
        <f aca="false">noncumulative!B3</f>
        <v>853167.64</v>
      </c>
      <c r="C3" s="3" t="n">
        <f aca="false">B3+noncumulative!C3</f>
        <v>1722627.61</v>
      </c>
      <c r="D3" s="3" t="n">
        <f aca="false">C3+noncumulative!D3</f>
        <v>2735036.78</v>
      </c>
      <c r="E3" s="3" t="n">
        <f aca="false">D3+noncumulative!E3</f>
        <v>3667868.79</v>
      </c>
      <c r="F3" s="3" t="n">
        <f aca="false">E3+noncumulative!F3</f>
        <v>4654841.17</v>
      </c>
      <c r="G3" s="3" t="n">
        <f aca="false">F3+noncumulative!G3</f>
        <v>5612903.34</v>
      </c>
      <c r="H3" s="3" t="n">
        <f aca="false">G3+noncumulative!H3</f>
        <v>6455984.05</v>
      </c>
      <c r="I3" s="3" t="n">
        <f aca="false">H3+noncumulative!I3</f>
        <v>7319413.95</v>
      </c>
      <c r="J3" s="3" t="n">
        <f aca="false">I3+noncumulative!J3</f>
        <v>8275237.12</v>
      </c>
      <c r="K3" s="3" t="n">
        <f aca="false">J3+noncumulative!K3</f>
        <v>9255513.86</v>
      </c>
      <c r="L3" s="3" t="n">
        <f aca="false">K3+noncumulative!L3</f>
        <v>10236612.31</v>
      </c>
      <c r="M3" s="3" t="n">
        <f aca="false">L3+noncumulative!M3</f>
        <v>11089750.17</v>
      </c>
      <c r="N3" s="3" t="n">
        <f aca="false">M3</f>
        <v>11089750.17</v>
      </c>
    </row>
    <row r="4" customFormat="false" ht="15" hidden="false" customHeight="false" outlineLevel="0" collapsed="false">
      <c r="A4" s="2" t="s">
        <v>16</v>
      </c>
      <c r="B4" s="3" t="n">
        <f aca="false">noncumulative!B4</f>
        <v>855000</v>
      </c>
      <c r="C4" s="3" t="n">
        <f aca="false">B4+noncumulative!C4</f>
        <v>1720000</v>
      </c>
      <c r="D4" s="3" t="n">
        <f aca="false">C4+noncumulative!D4</f>
        <v>2600000</v>
      </c>
      <c r="E4" s="3" t="n">
        <f aca="false">D4+noncumulative!E4</f>
        <v>3490000</v>
      </c>
      <c r="F4" s="3" t="n">
        <f aca="false">E4+noncumulative!F4</f>
        <v>4390000</v>
      </c>
      <c r="G4" s="3" t="n">
        <f aca="false">F4+noncumulative!G4</f>
        <v>5300000</v>
      </c>
      <c r="H4" s="3" t="n">
        <f aca="false">G4+noncumulative!H4</f>
        <v>6220000</v>
      </c>
      <c r="I4" s="3" t="n">
        <f aca="false">H4+noncumulative!I4</f>
        <v>7155000</v>
      </c>
      <c r="J4" s="3" t="n">
        <f aca="false">I4+noncumulative!J4</f>
        <v>8100000</v>
      </c>
      <c r="K4" s="3" t="n">
        <f aca="false">J4+noncumulative!K4</f>
        <v>9055000</v>
      </c>
      <c r="L4" s="3" t="n">
        <f aca="false">K4+noncumulative!L4</f>
        <v>10020000</v>
      </c>
      <c r="M4" s="3" t="n">
        <f aca="false">L4+noncumulative!M4</f>
        <v>11000000</v>
      </c>
      <c r="N4" s="3" t="n">
        <f aca="false">M4</f>
        <v>11000000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3"/>
  </cols>
  <sheetData>
    <row r="1" customFormat="false" ht="15" hidden="false" customHeight="false" outlineLevel="0" collapsed="false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f aca="false">noncumulative!B7</f>
        <v>922759.59</v>
      </c>
      <c r="C2" s="3" t="n">
        <f aca="false">B2+noncumulative!C7</f>
        <v>1893780.34</v>
      </c>
      <c r="D2" s="3" t="n">
        <f aca="false">C2+noncumulative!D7</f>
        <v>2975635.22</v>
      </c>
      <c r="E2" s="3" t="n">
        <f aca="false">D2+noncumulative!E7</f>
        <v>4049165.48</v>
      </c>
      <c r="F2" s="3" t="n">
        <f aca="false">E2+noncumulative!F7</f>
        <v>5122489.05</v>
      </c>
      <c r="G2" s="3" t="n">
        <f aca="false">F2+noncumulative!G7</f>
        <v>6181642.36</v>
      </c>
      <c r="H2" s="3" t="n">
        <f aca="false">G2+noncumulative!H7</f>
        <v>7187204.39</v>
      </c>
      <c r="I2" s="3" t="n">
        <f aca="false">H2+noncumulative!I7</f>
        <v>8115571.72</v>
      </c>
      <c r="J2" s="3" t="n">
        <f aca="false">I2+noncumulative!J7</f>
        <v>9206746.6</v>
      </c>
      <c r="K2" s="3" t="n">
        <f aca="false">J2+noncumulative!K7</f>
        <v>10326904.35</v>
      </c>
      <c r="L2" s="3" t="n">
        <f aca="false">K2+noncumulative!L7</f>
        <v>11318917.38</v>
      </c>
      <c r="M2" s="3" t="n">
        <f aca="false">L2+noncumulative!M7</f>
        <v>12228238.28</v>
      </c>
      <c r="N2" s="3" t="n">
        <f aca="false">M2</f>
        <v>12228238.28</v>
      </c>
    </row>
    <row r="3" customFormat="false" ht="15" hidden="false" customHeight="false" outlineLevel="0" collapsed="false">
      <c r="A3" s="2" t="s">
        <v>15</v>
      </c>
      <c r="B3" s="3" t="n">
        <f aca="false">noncumulative!B8</f>
        <v>955672.31</v>
      </c>
      <c r="C3" s="3" t="n">
        <f aca="false">B3+noncumulative!C8</f>
        <v>1915013.21</v>
      </c>
      <c r="D3" s="3" t="n">
        <f aca="false">C3+noncumulative!D8</f>
        <v>3001561.89</v>
      </c>
      <c r="E3" s="3" t="n">
        <f aca="false">D3+noncumulative!E8</f>
        <v>4037659.99</v>
      </c>
      <c r="F3" s="3" t="n">
        <f aca="false">E3+noncumulative!F8</f>
        <v>5124110.6</v>
      </c>
      <c r="G3" s="3" t="n">
        <f aca="false">F3+noncumulative!G8</f>
        <v>6214066.14</v>
      </c>
      <c r="H3" s="3" t="n">
        <f aca="false">G3+noncumulative!H8</f>
        <v>7149954.31</v>
      </c>
      <c r="I3" s="3" t="n">
        <f aca="false">H3+noncumulative!I8</f>
        <v>7991298.01</v>
      </c>
      <c r="J3" s="3" t="n">
        <f aca="false">I3+noncumulative!J8</f>
        <v>8983969.15</v>
      </c>
      <c r="K3" s="3" t="n">
        <f aca="false">J3+noncumulative!K8</f>
        <v>9996508.65</v>
      </c>
      <c r="L3" s="3" t="n">
        <f aca="false">K3+noncumulative!L8</f>
        <v>10984626.55</v>
      </c>
      <c r="M3" s="3" t="n">
        <f aca="false">L3+noncumulative!M8</f>
        <v>11859639.07</v>
      </c>
      <c r="N3" s="3" t="n">
        <f aca="false">M3</f>
        <v>11859639.07</v>
      </c>
    </row>
    <row r="4" customFormat="false" ht="15" hidden="false" customHeight="false" outlineLevel="0" collapsed="false">
      <c r="A4" s="2" t="s">
        <v>16</v>
      </c>
      <c r="B4" s="3" t="n">
        <f aca="false">noncumulative!B9</f>
        <v>975000</v>
      </c>
      <c r="C4" s="3" t="n">
        <f aca="false">B4+noncumulative!C9</f>
        <v>1960000</v>
      </c>
      <c r="D4" s="3" t="n">
        <f aca="false">C4+noncumulative!D9</f>
        <v>2960000</v>
      </c>
      <c r="E4" s="3" t="n">
        <f aca="false">D4+noncumulative!E9</f>
        <v>3970000</v>
      </c>
      <c r="F4" s="3" t="n">
        <f aca="false">E4+noncumulative!F9</f>
        <v>4995000</v>
      </c>
      <c r="G4" s="3" t="n">
        <f aca="false">F4+noncumulative!G9</f>
        <v>6030000</v>
      </c>
      <c r="H4" s="3" t="n">
        <f aca="false">G4+noncumulative!H9</f>
        <v>7080000</v>
      </c>
      <c r="I4" s="3" t="n">
        <f aca="false">H4+noncumulative!I9</f>
        <v>8140000</v>
      </c>
      <c r="J4" s="3" t="n">
        <f aca="false">I4+noncumulative!J9</f>
        <v>9215000</v>
      </c>
      <c r="K4" s="3" t="n">
        <f aca="false">J4+noncumulative!K9</f>
        <v>10300000</v>
      </c>
      <c r="L4" s="3" t="n">
        <f aca="false">K4+noncumulative!L9</f>
        <v>11400000</v>
      </c>
      <c r="M4" s="3" t="n">
        <f aca="false">L4+noncumulative!M9</f>
        <v>12500000</v>
      </c>
      <c r="N4" s="3" t="n">
        <f aca="false">M4</f>
        <v>12500000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3"/>
  </cols>
  <sheetData>
    <row r="1" customFormat="false" ht="15" hidden="false" customHeight="false" outlineLevel="0" collapsed="false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f aca="false">noncumulative!B12</f>
        <v>1051378.85</v>
      </c>
      <c r="C2" s="3" t="n">
        <f aca="false">B2+noncumulative!C12</f>
        <v>2044766.95</v>
      </c>
      <c r="D2" s="3" t="n">
        <f aca="false">C2+noncumulative!D12</f>
        <v>3189862.95</v>
      </c>
      <c r="E2" s="3" t="n">
        <f aca="false">D2+noncumulative!E12</f>
        <v>4334784.33</v>
      </c>
      <c r="F2" s="3" t="n">
        <f aca="false">E2+noncumulative!F12</f>
        <v>5450866.51</v>
      </c>
      <c r="G2" s="3" t="n">
        <f aca="false">F2+noncumulative!G12</f>
        <v>6671616.59</v>
      </c>
      <c r="H2" s="3" t="n">
        <f aca="false">G2+noncumulative!H12</f>
        <v>7622643.3</v>
      </c>
      <c r="I2" s="3" t="n">
        <f aca="false">H2+noncumulative!I12</f>
        <v>8592352.6</v>
      </c>
      <c r="J2" s="3" t="n">
        <f aca="false">I2+noncumulative!J12</f>
        <v>9645158.87</v>
      </c>
      <c r="K2" s="3" t="n">
        <f aca="false">J2+noncumulative!K12</f>
        <v>10788143.62</v>
      </c>
      <c r="L2" s="3" t="n">
        <f aca="false">K2+noncumulative!L12</f>
        <v>11889747.79</v>
      </c>
      <c r="M2" s="3" t="n">
        <f aca="false">L2+noncumulative!M12</f>
        <v>12879225.75</v>
      </c>
      <c r="N2" s="3" t="n">
        <f aca="false">M2</f>
        <v>12879225.75</v>
      </c>
    </row>
    <row r="3" customFormat="false" ht="15" hidden="false" customHeight="false" outlineLevel="0" collapsed="false">
      <c r="A3" s="2" t="s">
        <v>15</v>
      </c>
      <c r="B3" s="3" t="n">
        <f aca="false">noncumulative!B13</f>
        <v>948545.55</v>
      </c>
      <c r="C3" s="3" t="n">
        <f aca="false">B3+noncumulative!C13</f>
        <v>1939364.54</v>
      </c>
      <c r="D3" s="3" t="n">
        <f aca="false">C3+noncumulative!D13</f>
        <v>3089304.79</v>
      </c>
      <c r="E3" s="3" t="n">
        <f aca="false">D3+noncumulative!E13</f>
        <v>4176300.26</v>
      </c>
      <c r="F3" s="3" t="n">
        <f aca="false">E3+noncumulative!F13</f>
        <v>5280052.84</v>
      </c>
      <c r="G3" s="3" t="n">
        <f aca="false">F3+noncumulative!G13</f>
        <v>6379509.45</v>
      </c>
      <c r="H3" s="3" t="n">
        <f aca="false">G3+noncumulative!H13</f>
        <v>7413184.9</v>
      </c>
      <c r="I3" s="3" t="n">
        <f aca="false">H3+noncumulative!I13</f>
        <v>8317254.59</v>
      </c>
      <c r="J3" s="3" t="n">
        <f aca="false">I3+noncumulative!J13</f>
        <v>9464067.14</v>
      </c>
      <c r="K3" s="3" t="n">
        <f aca="false">J3+noncumulative!K13</f>
        <v>10560343.84</v>
      </c>
      <c r="L3" s="3" t="n">
        <f aca="false">K3+noncumulative!L13</f>
        <v>11645584.46</v>
      </c>
      <c r="M3" s="3" t="n">
        <f aca="false">L3+noncumulative!M13</f>
        <v>12661425.95</v>
      </c>
      <c r="N3" s="3" t="n">
        <f aca="false">M3</f>
        <v>12661425.95</v>
      </c>
    </row>
    <row r="4" customFormat="false" ht="15" hidden="false" customHeight="false" outlineLevel="0" collapsed="false">
      <c r="A4" s="2" t="s">
        <v>16</v>
      </c>
      <c r="B4" s="3" t="n">
        <f aca="false">noncumulative!B14</f>
        <v>1030000</v>
      </c>
      <c r="C4" s="3" t="n">
        <f aca="false">B4+noncumulative!C14</f>
        <v>2075000</v>
      </c>
      <c r="D4" s="3" t="n">
        <f aca="false">C4+noncumulative!D14</f>
        <v>3135000</v>
      </c>
      <c r="E4" s="3" t="n">
        <f aca="false">D4+noncumulative!E14</f>
        <v>4205000</v>
      </c>
      <c r="F4" s="3" t="n">
        <f aca="false">E4+noncumulative!F14</f>
        <v>5290000</v>
      </c>
      <c r="G4" s="3" t="n">
        <f aca="false">F4+noncumulative!G14</f>
        <v>6390000</v>
      </c>
      <c r="H4" s="3" t="n">
        <f aca="false">G4+noncumulative!H14</f>
        <v>7500000</v>
      </c>
      <c r="I4" s="3" t="n">
        <f aca="false">H4+noncumulative!I14</f>
        <v>8625000</v>
      </c>
      <c r="J4" s="3" t="n">
        <f aca="false">I4+noncumulative!J14</f>
        <v>9760000</v>
      </c>
      <c r="K4" s="3" t="n">
        <f aca="false">J4+noncumulative!K14</f>
        <v>10910000</v>
      </c>
      <c r="L4" s="3" t="n">
        <f aca="false">K4+noncumulative!L14</f>
        <v>12075000</v>
      </c>
      <c r="M4" s="3" t="n">
        <f aca="false">L4+noncumulative!M14</f>
        <v>13250000</v>
      </c>
      <c r="N4" s="3" t="n">
        <f aca="false">M4</f>
        <v>13250000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3"/>
  </cols>
  <sheetData>
    <row r="1" customFormat="false" ht="15" hidden="false" customHeight="false" outlineLevel="0" collapsed="false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f aca="false">noncumulative!B17</f>
        <v>1031634.81</v>
      </c>
      <c r="C2" s="3" t="n">
        <f aca="false">B2+noncumulative!C17</f>
        <v>2142237.47</v>
      </c>
      <c r="D2" s="3" t="n">
        <f aca="false">C2+noncumulative!D17</f>
        <v>3403018.86</v>
      </c>
      <c r="E2" s="3" t="n">
        <f aca="false">D2+noncumulative!E17</f>
        <v>4541538.81</v>
      </c>
      <c r="F2" s="3" t="n">
        <f aca="false">E2+noncumulative!F17</f>
        <v>5698253.43</v>
      </c>
      <c r="G2" s="3" t="n">
        <f aca="false">F2+noncumulative!G17</f>
        <v>6989148.68</v>
      </c>
      <c r="H2" s="3" t="n">
        <f aca="false">G2+noncumulative!H17</f>
        <v>8045730.74</v>
      </c>
      <c r="I2" s="3"/>
      <c r="J2" s="3"/>
      <c r="K2" s="3"/>
      <c r="L2" s="3"/>
      <c r="M2" s="3"/>
      <c r="N2" s="3" t="n">
        <f aca="false">H2</f>
        <v>8045730.74</v>
      </c>
    </row>
    <row r="3" customFormat="false" ht="15" hidden="false" customHeight="false" outlineLevel="0" collapsed="false">
      <c r="A3" s="2" t="s">
        <v>15</v>
      </c>
      <c r="B3" s="3" t="n">
        <f aca="false">noncumulative!B18</f>
        <v>1074406.98</v>
      </c>
      <c r="C3" s="3" t="n">
        <f aca="false">B3+noncumulative!C18</f>
        <v>2075923.77</v>
      </c>
      <c r="D3" s="3" t="n">
        <f aca="false">C3+noncumulative!D18</f>
        <v>3325709.08</v>
      </c>
      <c r="E3" s="3" t="n">
        <f aca="false">D3+noncumulative!E18</f>
        <v>4480438.73</v>
      </c>
      <c r="F3" s="3" t="n">
        <f aca="false">E3+noncumulative!F18</f>
        <v>5715003.21</v>
      </c>
      <c r="G3" s="3" t="n">
        <f aca="false">F3+noncumulative!G18</f>
        <v>6987772.75</v>
      </c>
      <c r="H3" s="3" t="n">
        <f aca="false">G3+noncumulative!H18</f>
        <v>8055709.76</v>
      </c>
      <c r="I3" s="3"/>
      <c r="J3" s="3"/>
      <c r="K3" s="3"/>
      <c r="L3" s="3"/>
      <c r="M3" s="3"/>
      <c r="N3" s="3" t="n">
        <f aca="false">H3</f>
        <v>8055709.76</v>
      </c>
    </row>
    <row r="4" customFormat="false" ht="15" hidden="false" customHeight="false" outlineLevel="0" collapsed="false">
      <c r="A4" s="2" t="s">
        <v>16</v>
      </c>
      <c r="B4" s="3" t="n">
        <f aca="false">noncumulative!B19</f>
        <v>1120000</v>
      </c>
      <c r="C4" s="3" t="n">
        <f aca="false">B4+noncumulative!C19</f>
        <v>2255000</v>
      </c>
      <c r="D4" s="3" t="n">
        <f aca="false">C4+noncumulative!D19</f>
        <v>3405000</v>
      </c>
      <c r="E4" s="3" t="n">
        <f aca="false">D4+noncumulative!E19</f>
        <v>4570000</v>
      </c>
      <c r="F4" s="3" t="n">
        <f aca="false">E4+noncumulative!F19</f>
        <v>5750000</v>
      </c>
      <c r="G4" s="3" t="n">
        <f aca="false">F4+noncumulative!G19</f>
        <v>6945000</v>
      </c>
      <c r="H4" s="3" t="n">
        <f aca="false">G4+noncumulative!H19</f>
        <v>8150000</v>
      </c>
      <c r="I4" s="3" t="n">
        <f aca="false">H4+noncumulative!I19</f>
        <v>9370000</v>
      </c>
      <c r="J4" s="3" t="n">
        <f aca="false">I4+noncumulative!J19</f>
        <v>10605000</v>
      </c>
      <c r="K4" s="3" t="n">
        <f aca="false">J4+noncumulative!K19</f>
        <v>11855000</v>
      </c>
      <c r="L4" s="3" t="n">
        <f aca="false">K4+noncumulative!L19</f>
        <v>13120000</v>
      </c>
      <c r="M4" s="3" t="n">
        <f aca="false">L4+noncumulative!M19</f>
        <v>14400000</v>
      </c>
      <c r="N4" s="3" t="n">
        <f aca="false">M4</f>
        <v>14400000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3"/>
  </cols>
  <sheetData>
    <row r="1" customFormat="false" ht="15" hidden="false" customHeight="false" outlineLevel="0" collapsed="false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4" t="n">
        <v>2022</v>
      </c>
      <c r="B2" s="3" t="n">
        <v>884766.4</v>
      </c>
      <c r="C2" s="3" t="n">
        <v>1788061.03</v>
      </c>
      <c r="D2" s="3" t="n">
        <v>2735037.61</v>
      </c>
      <c r="E2" s="3" t="n">
        <v>3672200.11</v>
      </c>
      <c r="F2" s="3" t="n">
        <v>4607477</v>
      </c>
      <c r="G2" s="3" t="n">
        <v>5589225.49</v>
      </c>
      <c r="H2" s="3" t="n">
        <v>6443451.05</v>
      </c>
      <c r="I2" s="3" t="n">
        <v>7258625.44</v>
      </c>
      <c r="J2" s="3" t="n">
        <v>8246223.71</v>
      </c>
      <c r="K2" s="3" t="n">
        <v>9196214.79</v>
      </c>
      <c r="L2" s="3" t="n">
        <v>10137817.32</v>
      </c>
      <c r="M2" s="3" t="n">
        <v>10950840.69</v>
      </c>
      <c r="N2" s="3" t="n">
        <f aca="false">M2</f>
        <v>10950840.69</v>
      </c>
    </row>
    <row r="3" customFormat="false" ht="15" hidden="false" customHeight="false" outlineLevel="0" collapsed="false">
      <c r="A3" s="4" t="n">
        <v>2021</v>
      </c>
      <c r="B3" s="3" t="n">
        <v>837532.47</v>
      </c>
      <c r="C3" s="3" t="n">
        <v>1618738.93</v>
      </c>
      <c r="D3" s="3" t="n">
        <v>2539099.05</v>
      </c>
      <c r="E3" s="3" t="n">
        <v>3433959.38</v>
      </c>
      <c r="F3" s="3" t="n">
        <v>4313156.15</v>
      </c>
      <c r="G3" s="3" t="n">
        <v>5268747.2</v>
      </c>
      <c r="H3" s="3" t="n">
        <v>6086611.64</v>
      </c>
      <c r="I3" s="3" t="n">
        <v>6849831.36</v>
      </c>
      <c r="J3" s="3" t="n">
        <v>7777535.57</v>
      </c>
      <c r="K3" s="3" t="n">
        <v>8684177.45</v>
      </c>
      <c r="L3" s="3" t="n">
        <v>9498715.56</v>
      </c>
      <c r="M3" s="3" t="n">
        <v>10309738.05</v>
      </c>
      <c r="N3" s="3" t="n">
        <f aca="false">M3</f>
        <v>10309738.05</v>
      </c>
    </row>
    <row r="4" customFormat="false" ht="15" hidden="false" customHeight="false" outlineLevel="0" collapsed="false">
      <c r="A4" s="4" t="n">
        <v>2020</v>
      </c>
      <c r="B4" s="3" t="n">
        <v>743500.18</v>
      </c>
      <c r="C4" s="3" t="n">
        <v>1409649.93</v>
      </c>
      <c r="D4" s="3" t="n">
        <v>2228412.09</v>
      </c>
      <c r="E4" s="3" t="n">
        <v>3010272.19</v>
      </c>
      <c r="F4" s="3" t="n">
        <v>3806158.19</v>
      </c>
      <c r="G4" s="3" t="n">
        <v>4676290.17</v>
      </c>
      <c r="H4" s="3" t="n">
        <v>5362787.06</v>
      </c>
      <c r="I4" s="3" t="n">
        <v>6086709.84</v>
      </c>
      <c r="J4" s="3" t="n">
        <v>6854566.44</v>
      </c>
      <c r="K4" s="3" t="n">
        <v>7638236.81</v>
      </c>
      <c r="L4" s="3" t="n">
        <v>8379325.9</v>
      </c>
      <c r="M4" s="3" t="n">
        <v>9100687.49</v>
      </c>
      <c r="N4" s="3" t="n">
        <f aca="false">M4</f>
        <v>9100687.49</v>
      </c>
    </row>
    <row r="5" customFormat="false" ht="15" hidden="false" customHeight="false" outlineLevel="0" collapsed="false">
      <c r="A5" s="4" t="n">
        <v>2019</v>
      </c>
      <c r="B5" s="3" t="n">
        <v>766906.36</v>
      </c>
      <c r="C5" s="3" t="n">
        <v>1436574.75</v>
      </c>
      <c r="D5" s="3" t="n">
        <v>2282379.22</v>
      </c>
      <c r="E5" s="3" t="n">
        <v>3037088.28</v>
      </c>
      <c r="F5" s="3" t="n">
        <v>3855334.14</v>
      </c>
      <c r="G5" s="3" t="n">
        <v>4658189.53</v>
      </c>
      <c r="H5" s="3" t="n">
        <v>5372150.66</v>
      </c>
      <c r="I5" s="3" t="n">
        <v>6051013.98</v>
      </c>
      <c r="J5" s="3" t="n">
        <v>6865404.53</v>
      </c>
      <c r="K5" s="3" t="n">
        <v>7672145.49</v>
      </c>
      <c r="L5" s="3" t="n">
        <v>8496280.5</v>
      </c>
      <c r="M5" s="3" t="n">
        <v>9214308.68</v>
      </c>
      <c r="N5" s="3" t="n">
        <f aca="false">M5</f>
        <v>9214308.68</v>
      </c>
    </row>
    <row r="6" customFormat="false" ht="15" hidden="false" customHeight="false" outlineLevel="0" collapsed="false">
      <c r="A6" s="4" t="n">
        <v>2018</v>
      </c>
      <c r="B6" s="3" t="n">
        <v>671513.97</v>
      </c>
      <c r="C6" s="3" t="n">
        <v>1317456.14</v>
      </c>
      <c r="D6" s="3" t="n">
        <v>2071372.67</v>
      </c>
      <c r="E6" s="3" t="n">
        <v>2831068.78</v>
      </c>
      <c r="F6" s="3" t="n">
        <v>3607660.95</v>
      </c>
      <c r="G6" s="3" t="n">
        <v>4442553.2</v>
      </c>
      <c r="H6" s="3" t="n">
        <v>5098190.5</v>
      </c>
      <c r="I6" s="3" t="n">
        <v>5768906.53</v>
      </c>
      <c r="J6" s="3" t="n">
        <v>6555349.42</v>
      </c>
      <c r="K6" s="3" t="n">
        <v>7313333.26</v>
      </c>
      <c r="L6" s="3" t="n">
        <v>8038115.02</v>
      </c>
      <c r="M6" s="3" t="n">
        <v>8707315.03</v>
      </c>
      <c r="N6" s="3" t="n">
        <f aca="false">M6</f>
        <v>8707315.03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8"/>
  </cols>
  <sheetData>
    <row r="1" customFormat="false" ht="15" hidden="false" customHeight="false" outlineLevel="0" collapsed="false">
      <c r="A1" s="5" t="s">
        <v>20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21</v>
      </c>
    </row>
    <row r="4" customFormat="false" ht="15" hidden="false" customHeight="false" outlineLevel="0" collapsed="false">
      <c r="A4" s="2" t="s">
        <v>22</v>
      </c>
    </row>
    <row r="5" customFormat="false" ht="15" hidden="false" customHeight="false" outlineLevel="0" collapsed="false">
      <c r="A5" s="2" t="s">
        <v>23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6" t="s">
        <v>24</v>
      </c>
    </row>
    <row r="8" customFormat="false" ht="15" hidden="false" customHeight="false" outlineLevel="0" collapsed="false">
      <c r="A8" s="2" t="s">
        <v>25</v>
      </c>
    </row>
    <row r="9" customFormat="false" ht="15" hidden="false" customHeight="false" outlineLevel="0" collapsed="false">
      <c r="A9" s="2" t="s">
        <v>26</v>
      </c>
    </row>
    <row r="10" customFormat="false" ht="15" hidden="false" customHeight="false" outlineLevel="0" collapsed="false">
      <c r="A10" s="2" t="s">
        <v>27</v>
      </c>
    </row>
    <row r="11" customFormat="false" ht="15" hidden="false" customHeight="false" outlineLevel="0" collapsed="false">
      <c r="A11" s="2" t="s">
        <v>28</v>
      </c>
    </row>
    <row r="12" customFormat="false" ht="15" hidden="false" customHeight="false" outlineLevel="0" collapsed="false">
      <c r="A12" s="2" t="s">
        <v>29</v>
      </c>
    </row>
    <row r="13" customFormat="false" ht="15" hidden="false" customHeight="false" outlineLevel="0" collapsed="false">
      <c r="A13" s="2" t="s">
        <v>30</v>
      </c>
    </row>
    <row r="14" customFormat="false" ht="15" hidden="false" customHeight="false" outlineLevel="0" collapsed="false">
      <c r="A14" s="2" t="s">
        <v>31</v>
      </c>
    </row>
    <row r="15" customFormat="false" ht="15" hidden="false" customHeight="false" outlineLevel="0" collapsed="false">
      <c r="A15" s="2" t="s">
        <v>32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6" t="s">
        <v>33</v>
      </c>
    </row>
    <row r="18" customFormat="false" ht="15" hidden="false" customHeight="false" outlineLevel="0" collapsed="false">
      <c r="A18" s="2" t="s">
        <v>34</v>
      </c>
    </row>
    <row r="19" customFormat="false" ht="15" hidden="false" customHeight="false" outlineLevel="0" collapsed="false">
      <c r="A19" s="2" t="s">
        <v>35</v>
      </c>
    </row>
    <row r="20" customFormat="false" ht="15" hidden="false" customHeight="false" outlineLevel="0" collapsed="false">
      <c r="A20" s="2" t="s">
        <v>36</v>
      </c>
    </row>
    <row r="21" customFormat="false" ht="15" hidden="false" customHeight="false" outlineLevel="0" collapsed="false">
      <c r="A21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2026-08-28T19:04:04Z</dcterms:created>
  <dc:creator>openpyxl</dc:creator>
  <dc:description/>
  <dc:language>en-US</dc:language>
  <cp:lastModifiedBy/>
  <dcterms:modified xsi:type="dcterms:W3CDTF">2026-08-28T19:04:04Z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